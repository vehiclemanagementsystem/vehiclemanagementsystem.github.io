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G:\MBA\Trimester 2\Computer Information System\Our Data for the Project\Final Project\"/>
    </mc:Choice>
  </mc:AlternateContent>
  <xr:revisionPtr revIDLastSave="0" documentId="13_ncr:1_{CC025E00-F22B-419F-8BF8-C1624334AD3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CLAIM REQUEST DATABASE" sheetId="1" r:id="rId1"/>
    <sheet name="Sheet4" sheetId="4" r:id="rId2"/>
    <sheet name="Sheet3" sheetId="3" r:id="rId3"/>
    <sheet name="Sheet6" sheetId="6" r:id="rId4"/>
  </sheets>
  <definedNames>
    <definedName name="_xlnm._FilterDatabase" localSheetId="0" hidden="1">'CLAIM REQUEST DATABASE'!$A$1:$R$85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" i="6" l="1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3" i="6"/>
</calcChain>
</file>

<file path=xl/sharedStrings.xml><?xml version="1.0" encoding="utf-8"?>
<sst xmlns="http://schemas.openxmlformats.org/spreadsheetml/2006/main" count="1122" uniqueCount="316">
  <si>
    <t>MAKE</t>
  </si>
  <si>
    <t>MODEL</t>
  </si>
  <si>
    <t>BRANCH</t>
  </si>
  <si>
    <t>DATE</t>
  </si>
  <si>
    <t>E-CODE</t>
  </si>
  <si>
    <t>EMPLOYEE NAME</t>
  </si>
  <si>
    <t>VEHICLE NUMBER</t>
  </si>
  <si>
    <t>FUEL VARIANT</t>
  </si>
  <si>
    <t>RECEIPT</t>
  </si>
  <si>
    <t>REASON</t>
  </si>
  <si>
    <t>INVOICE</t>
  </si>
  <si>
    <t>E103</t>
  </si>
  <si>
    <t>YASH SHAH</t>
  </si>
  <si>
    <t>MH01DK6303</t>
  </si>
  <si>
    <t>MUMBAI</t>
  </si>
  <si>
    <t>DIESEL</t>
  </si>
  <si>
    <t>E118</t>
  </si>
  <si>
    <t>KAPIL SHARMA</t>
  </si>
  <si>
    <t>MP09T0239</t>
  </si>
  <si>
    <t>PETROL</t>
  </si>
  <si>
    <t>E113</t>
  </si>
  <si>
    <t>SWAPNIL MAHAPATRA</t>
  </si>
  <si>
    <t>MH01CT7527</t>
  </si>
  <si>
    <t>E104</t>
  </si>
  <si>
    <t>PARTH PANDEY</t>
  </si>
  <si>
    <t>MH01DK7396</t>
  </si>
  <si>
    <t>E126</t>
  </si>
  <si>
    <t>GRACIANA D'SOUZA</t>
  </si>
  <si>
    <t>MH01DK2899</t>
  </si>
  <si>
    <t>E132</t>
  </si>
  <si>
    <t>AMAR RAGHAVAN</t>
  </si>
  <si>
    <t>DL12CK4354</t>
  </si>
  <si>
    <t>E128</t>
  </si>
  <si>
    <t>ABHISHEK PANDEY</t>
  </si>
  <si>
    <t>MH01DK6820</t>
  </si>
  <si>
    <t>E107</t>
  </si>
  <si>
    <t>KAMLESH SIGNEWAR</t>
  </si>
  <si>
    <t>MH01CP1791</t>
  </si>
  <si>
    <t>E101</t>
  </si>
  <si>
    <t>PRITHVI SEHGAL</t>
  </si>
  <si>
    <t>MH01CH0708</t>
  </si>
  <si>
    <t>E116</t>
  </si>
  <si>
    <t>NEERAJ MISHRA</t>
  </si>
  <si>
    <t>TS08GW9077</t>
  </si>
  <si>
    <t>E106</t>
  </si>
  <si>
    <t>ANUPAM SHEHGAL</t>
  </si>
  <si>
    <t>KA04MR8950</t>
  </si>
  <si>
    <t>E110</t>
  </si>
  <si>
    <t>SHALINI GAIKWAD</t>
  </si>
  <si>
    <t>MH01DE2694</t>
  </si>
  <si>
    <t>E108</t>
  </si>
  <si>
    <t>PRATEEK KHANDELWAL</t>
  </si>
  <si>
    <t>MH01CP1163</t>
  </si>
  <si>
    <t>E111</t>
  </si>
  <si>
    <t>PREETI YADAV</t>
  </si>
  <si>
    <t>MH01CP5750</t>
  </si>
  <si>
    <t>E105</t>
  </si>
  <si>
    <t>MEENAL BHATT</t>
  </si>
  <si>
    <t>MH01DK7012</t>
  </si>
  <si>
    <t>E117</t>
  </si>
  <si>
    <t>KIRAN SONAWANE</t>
  </si>
  <si>
    <t>MH01CP7869</t>
  </si>
  <si>
    <t>E122</t>
  </si>
  <si>
    <t>SUDIP MITRA</t>
  </si>
  <si>
    <t>MH01DK6485</t>
  </si>
  <si>
    <t>E135</t>
  </si>
  <si>
    <t>ANURAG NAIK</t>
  </si>
  <si>
    <t>MH01CH2412</t>
  </si>
  <si>
    <t>E129</t>
  </si>
  <si>
    <t>SANDESH KARGAONKAR</t>
  </si>
  <si>
    <t>GJ01RS9839</t>
  </si>
  <si>
    <t>E175</t>
  </si>
  <si>
    <t>HARDIK SHAH</t>
  </si>
  <si>
    <t>MH01CT2045</t>
  </si>
  <si>
    <t>BANGLORE</t>
  </si>
  <si>
    <t>E172</t>
  </si>
  <si>
    <t>ZEESHAN MIRAJKAR</t>
  </si>
  <si>
    <t>MP13CB6613</t>
  </si>
  <si>
    <t>E157</t>
  </si>
  <si>
    <t>ANUJ KHANDELWAL</t>
  </si>
  <si>
    <t>MH01CH1813</t>
  </si>
  <si>
    <t>E142</t>
  </si>
  <si>
    <t>SHRAVAN MITTAL</t>
  </si>
  <si>
    <t>MH01CH6038</t>
  </si>
  <si>
    <t>E162</t>
  </si>
  <si>
    <t>AKSHAY BANERJEE</t>
  </si>
  <si>
    <t>MH01CH3965</t>
  </si>
  <si>
    <t>E144</t>
  </si>
  <si>
    <t>KAMLESH SASWANI</t>
  </si>
  <si>
    <t>DL12CK4854</t>
  </si>
  <si>
    <t>E160</t>
  </si>
  <si>
    <t>SHRENIK KHASGIWALA</t>
  </si>
  <si>
    <t>MH01CH6376</t>
  </si>
  <si>
    <t>E115</t>
  </si>
  <si>
    <t>BHUVAN SETH</t>
  </si>
  <si>
    <t>MH01DK5122</t>
  </si>
  <si>
    <t>E173</t>
  </si>
  <si>
    <t>KASHISH BADGUJAR</t>
  </si>
  <si>
    <t>WB02AK4591</t>
  </si>
  <si>
    <t>E170</t>
  </si>
  <si>
    <t>KOMAL CHAUHAN</t>
  </si>
  <si>
    <t>MH01CP0858</t>
  </si>
  <si>
    <t>E167</t>
  </si>
  <si>
    <t>UMA KUMAVAT</t>
  </si>
  <si>
    <t>MH01DK5685</t>
  </si>
  <si>
    <t>E176</t>
  </si>
  <si>
    <t>KRANTI NILE</t>
  </si>
  <si>
    <t>MH01CP1439</t>
  </si>
  <si>
    <t>E177</t>
  </si>
  <si>
    <t>PAWANKUMAR BHATTAD</t>
  </si>
  <si>
    <t xml:space="preserve">MH01DK4948  </t>
  </si>
  <si>
    <t>E178</t>
  </si>
  <si>
    <t>RAJU PARMAR</t>
  </si>
  <si>
    <t>MH01DK3802</t>
  </si>
  <si>
    <t>E134</t>
  </si>
  <si>
    <t>VIVEK SAHA</t>
  </si>
  <si>
    <t>MH01CD8141</t>
  </si>
  <si>
    <t>E131</t>
  </si>
  <si>
    <t>AMEDA FURTADO</t>
  </si>
  <si>
    <t>MH01CT0408</t>
  </si>
  <si>
    <t>E124</t>
  </si>
  <si>
    <t>PRADEEP JHUNJHUNWALA</t>
  </si>
  <si>
    <t>MH01CH5736</t>
  </si>
  <si>
    <t>E125</t>
  </si>
  <si>
    <t>HARSHIT PATEL</t>
  </si>
  <si>
    <t>MH01DK6158</t>
  </si>
  <si>
    <t>E130</t>
  </si>
  <si>
    <t>FRANCIS MORRIS</t>
  </si>
  <si>
    <t>MH01CT0850</t>
  </si>
  <si>
    <t>E136</t>
  </si>
  <si>
    <t>HEEMA SINGH</t>
  </si>
  <si>
    <t>DL12CK4956</t>
  </si>
  <si>
    <t>E165</t>
  </si>
  <si>
    <t>OLI HUGGINS</t>
  </si>
  <si>
    <t>MH01DK4902</t>
  </si>
  <si>
    <t>E127</t>
  </si>
  <si>
    <t>SOHAM JHA</t>
  </si>
  <si>
    <t>MH01CH5584</t>
  </si>
  <si>
    <t>E112</t>
  </si>
  <si>
    <t>DWAYNE D'SOUZA</t>
  </si>
  <si>
    <t>MH01DK3163</t>
  </si>
  <si>
    <t>E166</t>
  </si>
  <si>
    <t>ASHISH ROY</t>
  </si>
  <si>
    <t>MH01DE1754</t>
  </si>
  <si>
    <t>E133</t>
  </si>
  <si>
    <t>SANJIV GUPTA</t>
  </si>
  <si>
    <t>MH01DK6717</t>
  </si>
  <si>
    <t>E120</t>
  </si>
  <si>
    <t>POOJA CHAUDHARY</t>
  </si>
  <si>
    <t>MH01DE2165</t>
  </si>
  <si>
    <t>E119</t>
  </si>
  <si>
    <t>PIYUSH GANDHI</t>
  </si>
  <si>
    <t>MH01CH5491</t>
  </si>
  <si>
    <t>E121</t>
  </si>
  <si>
    <t>SHRINIVAS NAIK</t>
  </si>
  <si>
    <t>DL3CBE6666</t>
  </si>
  <si>
    <t>E169</t>
  </si>
  <si>
    <t>SAURABH MITTAL</t>
  </si>
  <si>
    <t>WB02AP9057</t>
  </si>
  <si>
    <t>E171</t>
  </si>
  <si>
    <t>MH01CH5881</t>
  </si>
  <si>
    <t>E174</t>
  </si>
  <si>
    <t>SANKET PAWAR</t>
  </si>
  <si>
    <t>UP36D4145</t>
  </si>
  <si>
    <t>E109</t>
  </si>
  <si>
    <t>ANUBHAV JUMANI</t>
  </si>
  <si>
    <t xml:space="preserve">GJ01KX2431 </t>
  </si>
  <si>
    <t>E114</t>
  </si>
  <si>
    <t>VINAL SHAH</t>
  </si>
  <si>
    <t>MH01CP0614</t>
  </si>
  <si>
    <t>E123</t>
  </si>
  <si>
    <t>NANDAN KHEDEKAR</t>
  </si>
  <si>
    <t>MH01DK5430</t>
  </si>
  <si>
    <t>5,68,879</t>
  </si>
  <si>
    <t>2, 345.67</t>
  </si>
  <si>
    <t>XXXX</t>
  </si>
  <si>
    <t>Volkswagen</t>
  </si>
  <si>
    <t>Volkswagen Tiguan Highline TDI DSG 2.0 AT</t>
  </si>
  <si>
    <t>Toyota</t>
  </si>
  <si>
    <t>Toyota Camry Hybrid</t>
  </si>
  <si>
    <t>Toyota Fortuner</t>
  </si>
  <si>
    <t>BMW</t>
  </si>
  <si>
    <t>BMW 6 30i GT Luxury Line 2018 AT</t>
  </si>
  <si>
    <t>Honda</t>
  </si>
  <si>
    <t xml:space="preserve">Honda City ZX MT </t>
  </si>
  <si>
    <t>Hyundai</t>
  </si>
  <si>
    <t>Hyundai Creta 1.6 SX + CRDI</t>
  </si>
  <si>
    <t>Maruti</t>
  </si>
  <si>
    <t>Maruti XL6 Smarty Hybrid Zeta AT</t>
  </si>
  <si>
    <t>BMW 320 D</t>
  </si>
  <si>
    <t>Toyota Innova Crysta</t>
  </si>
  <si>
    <t xml:space="preserve">Toyota Crysta 2.4 VX 8 STR MT </t>
  </si>
  <si>
    <t>Toyota Corolla Altis</t>
  </si>
  <si>
    <t>Innova Crysta GX 7 Seater MT</t>
  </si>
  <si>
    <t>Skoda</t>
  </si>
  <si>
    <t>Skoda Octvia 1.8 TSI</t>
  </si>
  <si>
    <t>Hyundai Elantra  VTVT SX (0)AT</t>
  </si>
  <si>
    <t>Mahindra Scorpio</t>
  </si>
  <si>
    <t xml:space="preserve">Hyundai Creta 1.6 SX AT </t>
  </si>
  <si>
    <t xml:space="preserve">Hyundai Creata SX+AT 1.6 </t>
  </si>
  <si>
    <t>Honda BRV VCVT</t>
  </si>
  <si>
    <t>Mahindra</t>
  </si>
  <si>
    <t xml:space="preserve">BMW 520 D Luxury Line AT </t>
  </si>
  <si>
    <t>Hyundai Creta 1.6</t>
  </si>
  <si>
    <t>Maruti Suuki Swift Dzire</t>
  </si>
  <si>
    <t xml:space="preserve">Toyota Etios Liva </t>
  </si>
  <si>
    <t>Maruti Wagon R VXI</t>
  </si>
  <si>
    <t>Maruti Wagon R  LXI</t>
  </si>
  <si>
    <t>Chevrolet</t>
  </si>
  <si>
    <t xml:space="preserve">Chevrolet Beat LT </t>
  </si>
  <si>
    <t xml:space="preserve">Mercedes-Benz </t>
  </si>
  <si>
    <t>Benz GLC 300 Progressive</t>
  </si>
  <si>
    <t>Maruti Ciaz ZXI</t>
  </si>
  <si>
    <t xml:space="preserve">Maruti Ertiga VXI </t>
  </si>
  <si>
    <t>Venue 1.2 S VTVT MT</t>
  </si>
  <si>
    <t xml:space="preserve">Maruti Ciaz </t>
  </si>
  <si>
    <t xml:space="preserve">Hyundai </t>
  </si>
  <si>
    <t xml:space="preserve">Grand Nios Sportz AMT </t>
  </si>
  <si>
    <t>Renault</t>
  </si>
  <si>
    <t xml:space="preserve">Triber RXT MT </t>
  </si>
  <si>
    <t xml:space="preserve">Hyundai Creta 1.4 S+ </t>
  </si>
  <si>
    <t>Honda City 1.5</t>
  </si>
  <si>
    <t>Maruti XL6 Smarty Hybrid Zeta MT</t>
  </si>
  <si>
    <t xml:space="preserve">Nexa XL6 Smarty Hybrid Zeta MT </t>
  </si>
  <si>
    <t>Mercedes-Benz</t>
  </si>
  <si>
    <t xml:space="preserve">GLC 220 Prime AT </t>
  </si>
  <si>
    <r>
      <t>Nexa Ciaz Alpha</t>
    </r>
    <r>
      <rPr>
        <sz val="12"/>
        <color theme="1"/>
        <rFont val="Calibri"/>
        <family val="2"/>
        <scheme val="minor"/>
      </rPr>
      <t xml:space="preserve"> BS-VI MT</t>
    </r>
  </si>
  <si>
    <t>Honda City V CVT BS VI</t>
  </si>
  <si>
    <t>Honda City IVTECH CVTZX</t>
  </si>
  <si>
    <t>Hyundi</t>
  </si>
  <si>
    <t>Hyundi Creta 1.6 SX</t>
  </si>
  <si>
    <t>MANIGANDAN VENKATARAMAN</t>
  </si>
  <si>
    <t>Hyundai Garnd i10 NIOS Sportz 1.2 AMT</t>
  </si>
  <si>
    <t>Hyundai Elite i20</t>
  </si>
  <si>
    <t>Mhaindra KUV 100 K8</t>
  </si>
  <si>
    <t xml:space="preserve">Skoda </t>
  </si>
  <si>
    <t xml:space="preserve">Kodiaq L &amp; K 2.0 TDI CR 4X4 AT </t>
  </si>
  <si>
    <t>C 200 Prime 2</t>
  </si>
  <si>
    <t>Hyundai Elantra VTVT</t>
  </si>
  <si>
    <t>Aril -19</t>
  </si>
  <si>
    <t>FUEL COST</t>
  </si>
  <si>
    <t>PRICE PER LITRE</t>
  </si>
  <si>
    <t>INSURANCE CLAIM</t>
  </si>
  <si>
    <t>V4554901</t>
  </si>
  <si>
    <t>D5465667</t>
  </si>
  <si>
    <t>A7584785</t>
  </si>
  <si>
    <t>R5454658</t>
  </si>
  <si>
    <t>E5353553</t>
  </si>
  <si>
    <t>C5653901</t>
  </si>
  <si>
    <t>S6422908</t>
  </si>
  <si>
    <t>H5466690</t>
  </si>
  <si>
    <t>M8892201</t>
  </si>
  <si>
    <t>T6271892</t>
  </si>
  <si>
    <t>S1121209</t>
  </si>
  <si>
    <t>D8892237</t>
  </si>
  <si>
    <t>Y7383990</t>
  </si>
  <si>
    <t>R6483748</t>
  </si>
  <si>
    <t>O5735759</t>
  </si>
  <si>
    <t>G5454908</t>
  </si>
  <si>
    <t>L9087554</t>
  </si>
  <si>
    <t>Q3324909</t>
  </si>
  <si>
    <t>P5353535</t>
  </si>
  <si>
    <t>U6644441</t>
  </si>
  <si>
    <t>N5453333</t>
  </si>
  <si>
    <t>C4438960</t>
  </si>
  <si>
    <t>M8894038</t>
  </si>
  <si>
    <t>J6475859</t>
  </si>
  <si>
    <t>P7585950</t>
  </si>
  <si>
    <t>X5464749</t>
  </si>
  <si>
    <t>H5727272</t>
  </si>
  <si>
    <t>J3939009</t>
  </si>
  <si>
    <t>M6575789</t>
  </si>
  <si>
    <t>E6474790</t>
  </si>
  <si>
    <t>T6575890</t>
  </si>
  <si>
    <t>D9000588</t>
  </si>
  <si>
    <t>E3456718</t>
  </si>
  <si>
    <t>T4533445</t>
  </si>
  <si>
    <t>Company's function</t>
  </si>
  <si>
    <t xml:space="preserve">Event at Andheri Metro station </t>
  </si>
  <si>
    <t>Award Event</t>
  </si>
  <si>
    <t>Award Event held in Andheri</t>
  </si>
  <si>
    <t>Company's Gathering</t>
  </si>
  <si>
    <t>Award Event in Banglore</t>
  </si>
  <si>
    <t>Event in Banglore</t>
  </si>
  <si>
    <t>Accidental repairs</t>
  </si>
  <si>
    <t>renew of Rear windshield &amp; Front bumper</t>
  </si>
  <si>
    <t>Accidental damages</t>
  </si>
  <si>
    <t>2nd claim of front RHS outer view mirror</t>
  </si>
  <si>
    <t>accidental repairs</t>
  </si>
  <si>
    <t>LHS &amp; RHS Front &amp; rear doors and rear bumper</t>
  </si>
  <si>
    <t>Front &amp; rear bumper, fron LHS door, repair RHS tail light</t>
  </si>
  <si>
    <t>Accidental Repairs</t>
  </si>
  <si>
    <t>front &amp; rear bumper, front right door and rear right qtr panel</t>
  </si>
  <si>
    <t>Front grill, front &amp; rear bumper, Front Left door &amp; RHS headlamp</t>
  </si>
  <si>
    <t>Front Left Door repair &amp; paint</t>
  </si>
  <si>
    <t>Repair &amp; Paint L &amp; R doors and qtr panels</t>
  </si>
  <si>
    <t>Front LHS Tire &amp; Alloy Wheel</t>
  </si>
  <si>
    <t>Front bumper damaged</t>
  </si>
  <si>
    <t>RL door, Rear wheel moulding, front bumper &amp; front wheel moulding</t>
  </si>
  <si>
    <t>Massive Accidental repairs RHS</t>
  </si>
  <si>
    <t>Front &amp; Rear Bumper, Rear LHS Door, fender &amp; tail lamp</t>
  </si>
  <si>
    <t>RHS door &amp; fender</t>
  </si>
  <si>
    <t>front bumper, rear left door, rear left fender</t>
  </si>
  <si>
    <t>Complete LHS of car was damaged at Worli office garden fence</t>
  </si>
  <si>
    <t>LHS Moulding repairs</t>
  </si>
  <si>
    <t>Front bumper, LHS both doors and running board</t>
  </si>
  <si>
    <t>Bumper, and left door damaged</t>
  </si>
  <si>
    <t>FUEL IN LITRES</t>
  </si>
  <si>
    <t>Row Labels</t>
  </si>
  <si>
    <t>Grand Total</t>
  </si>
  <si>
    <t>Count of FUEL VARIANT</t>
  </si>
  <si>
    <t>Column Labels</t>
  </si>
  <si>
    <t>(All)</t>
  </si>
  <si>
    <t>Count of EMPLOYEE NAME</t>
  </si>
  <si>
    <t>MONTH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</si>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</sst>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2313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C6C6C6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rgb="FFC6C6C6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4" fontId="5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4" fontId="5" fillId="0" borderId="3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" fontId="5" fillId="0" borderId="7" xfId="0" applyNumberFormat="1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3" fontId="5" fillId="3" borderId="7" xfId="0" applyNumberFormat="1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left" vertical="center" wrapText="1"/>
    </xf>
    <xf numFmtId="2" fontId="5" fillId="0" borderId="7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64" fontId="5" fillId="0" borderId="26" xfId="0" applyNumberFormat="1" applyFont="1" applyBorder="1" applyAlignment="1">
      <alignment horizontal="center" vertical="center"/>
    </xf>
    <xf numFmtId="4" fontId="5" fillId="0" borderId="26" xfId="0" applyNumberFormat="1" applyFont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0" fillId="0" borderId="15" xfId="0" applyBorder="1"/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10" xfId="0" applyBorder="1"/>
    <xf numFmtId="0" fontId="5" fillId="0" borderId="8" xfId="0" applyFont="1" applyBorder="1" applyAlignment="1">
      <alignment horizontal="center" vertical="center" wrapText="1"/>
    </xf>
    <xf numFmtId="0" fontId="0" fillId="0" borderId="30" xfId="0" applyBorder="1"/>
    <xf numFmtId="16" fontId="4" fillId="0" borderId="11" xfId="0" applyNumberFormat="1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16" fontId="4" fillId="0" borderId="12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 REQUEST.XLSX]Sheet4!PivotTable4</c:name>
    <c:fmtId val="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Sheet4!$C$4:$C$5</c:f>
              <c:strCache>
                <c:ptCount val="1"/>
                <c:pt idx="0">
                  <c:v>BANGLORE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Sheet4!$B$6:$B$59</c:f>
              <c:strCache>
                <c:ptCount val="53"/>
                <c:pt idx="0">
                  <c:v>ABHISHEK PANDEY</c:v>
                </c:pt>
                <c:pt idx="1">
                  <c:v>AKSHAY BANERJEE</c:v>
                </c:pt>
                <c:pt idx="2">
                  <c:v>AMAR RAGHAVAN</c:v>
                </c:pt>
                <c:pt idx="3">
                  <c:v>AMEDA FURTADO</c:v>
                </c:pt>
                <c:pt idx="4">
                  <c:v>ANUBHAV JUMANI</c:v>
                </c:pt>
                <c:pt idx="5">
                  <c:v>ANUJ KHANDELWAL</c:v>
                </c:pt>
                <c:pt idx="6">
                  <c:v>ANUPAM SHEHGAL</c:v>
                </c:pt>
                <c:pt idx="7">
                  <c:v>ANURAG NAIK</c:v>
                </c:pt>
                <c:pt idx="8">
                  <c:v>ASHISH ROY</c:v>
                </c:pt>
                <c:pt idx="9">
                  <c:v>BHUVAN SETH</c:v>
                </c:pt>
                <c:pt idx="10">
                  <c:v>DWAYNE D'SOUZA</c:v>
                </c:pt>
                <c:pt idx="11">
                  <c:v>FRANCIS MORRIS</c:v>
                </c:pt>
                <c:pt idx="12">
                  <c:v>GRACIANA D'SOUZA</c:v>
                </c:pt>
                <c:pt idx="13">
                  <c:v>HARDIK SHAH</c:v>
                </c:pt>
                <c:pt idx="14">
                  <c:v>HARSHIT PATEL</c:v>
                </c:pt>
                <c:pt idx="15">
                  <c:v>HEEMA SINGH</c:v>
                </c:pt>
                <c:pt idx="16">
                  <c:v>KAMLESH SASWANI</c:v>
                </c:pt>
                <c:pt idx="17">
                  <c:v>KAMLESH SIGNEWAR</c:v>
                </c:pt>
                <c:pt idx="18">
                  <c:v>KAPIL SHARMA</c:v>
                </c:pt>
                <c:pt idx="19">
                  <c:v>KASHISH BADGUJAR</c:v>
                </c:pt>
                <c:pt idx="20">
                  <c:v>KIRAN SONAWANE</c:v>
                </c:pt>
                <c:pt idx="21">
                  <c:v>KOMAL CHAUHAN</c:v>
                </c:pt>
                <c:pt idx="22">
                  <c:v>KRANTI NILE</c:v>
                </c:pt>
                <c:pt idx="23">
                  <c:v>MANIGANDAN VENKATARAMAN</c:v>
                </c:pt>
                <c:pt idx="24">
                  <c:v>MEENAL BHATT</c:v>
                </c:pt>
                <c:pt idx="25">
                  <c:v>NANDAN KHEDEKAR</c:v>
                </c:pt>
                <c:pt idx="26">
                  <c:v>NEERAJ MISHRA</c:v>
                </c:pt>
                <c:pt idx="27">
                  <c:v>OLI HUGGINS</c:v>
                </c:pt>
                <c:pt idx="28">
                  <c:v>PARTH PANDEY</c:v>
                </c:pt>
                <c:pt idx="29">
                  <c:v>PAWANKUMAR BHATTAD</c:v>
                </c:pt>
                <c:pt idx="30">
                  <c:v>PIYUSH GANDHI</c:v>
                </c:pt>
                <c:pt idx="31">
                  <c:v>POOJA CHAUDHARY</c:v>
                </c:pt>
                <c:pt idx="32">
                  <c:v>PRADEEP JHUNJHUNWALA</c:v>
                </c:pt>
                <c:pt idx="33">
                  <c:v>PRATEEK KHANDELWAL</c:v>
                </c:pt>
                <c:pt idx="34">
                  <c:v>PREETI YADAV</c:v>
                </c:pt>
                <c:pt idx="35">
                  <c:v>PRITHVI SEHGAL</c:v>
                </c:pt>
                <c:pt idx="36">
                  <c:v>RAJU PARMAR</c:v>
                </c:pt>
                <c:pt idx="37">
                  <c:v>SANDESH KARGAONKAR</c:v>
                </c:pt>
                <c:pt idx="38">
                  <c:v>SANJIV GUPTA</c:v>
                </c:pt>
                <c:pt idx="39">
                  <c:v>SANKET PAWAR</c:v>
                </c:pt>
                <c:pt idx="40">
                  <c:v>SAURABH MITTAL</c:v>
                </c:pt>
                <c:pt idx="41">
                  <c:v>SHALINI GAIKWAD</c:v>
                </c:pt>
                <c:pt idx="42">
                  <c:v>SHRAVAN MITTAL</c:v>
                </c:pt>
                <c:pt idx="43">
                  <c:v>SHRENIK KHASGIWALA</c:v>
                </c:pt>
                <c:pt idx="44">
                  <c:v>SHRINIVAS NAIK</c:v>
                </c:pt>
                <c:pt idx="45">
                  <c:v>SOHAM JHA</c:v>
                </c:pt>
                <c:pt idx="46">
                  <c:v>SUDIP MITRA</c:v>
                </c:pt>
                <c:pt idx="47">
                  <c:v>SWAPNIL MAHAPATRA</c:v>
                </c:pt>
                <c:pt idx="48">
                  <c:v>UMA KUMAVAT</c:v>
                </c:pt>
                <c:pt idx="49">
                  <c:v>VINAL SHAH</c:v>
                </c:pt>
                <c:pt idx="50">
                  <c:v>VIVEK SAHA</c:v>
                </c:pt>
                <c:pt idx="51">
                  <c:v>YASH SHAH</c:v>
                </c:pt>
                <c:pt idx="52">
                  <c:v>ZEESHAN MIRAJKAR</c:v>
                </c:pt>
              </c:strCache>
            </c:strRef>
          </c:cat>
          <c:val>
            <c:numRef>
              <c:f>Sheet4!$C$6:$C$59</c:f>
              <c:numCache>
                <c:formatCode>General</c:formatCode>
                <c:ptCount val="53"/>
                <c:pt idx="13">
                  <c:v>2</c:v>
                </c:pt>
                <c:pt idx="19">
                  <c:v>1</c:v>
                </c:pt>
                <c:pt idx="22">
                  <c:v>2</c:v>
                </c:pt>
                <c:pt idx="23">
                  <c:v>1</c:v>
                </c:pt>
                <c:pt idx="29">
                  <c:v>2</c:v>
                </c:pt>
                <c:pt idx="36">
                  <c:v>2</c:v>
                </c:pt>
                <c:pt idx="39">
                  <c:v>1</c:v>
                </c:pt>
                <c:pt idx="5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02-415C-B520-8AFAFEF832A9}"/>
            </c:ext>
          </c:extLst>
        </c:ser>
        <c:ser>
          <c:idx val="1"/>
          <c:order val="1"/>
          <c:tx>
            <c:strRef>
              <c:f>Sheet4!$D$4:$D$5</c:f>
              <c:strCache>
                <c:ptCount val="1"/>
                <c:pt idx="0">
                  <c:v>MUMBAI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Sheet4!$B$6:$B$59</c:f>
              <c:strCache>
                <c:ptCount val="53"/>
                <c:pt idx="0">
                  <c:v>ABHISHEK PANDEY</c:v>
                </c:pt>
                <c:pt idx="1">
                  <c:v>AKSHAY BANERJEE</c:v>
                </c:pt>
                <c:pt idx="2">
                  <c:v>AMAR RAGHAVAN</c:v>
                </c:pt>
                <c:pt idx="3">
                  <c:v>AMEDA FURTADO</c:v>
                </c:pt>
                <c:pt idx="4">
                  <c:v>ANUBHAV JUMANI</c:v>
                </c:pt>
                <c:pt idx="5">
                  <c:v>ANUJ KHANDELWAL</c:v>
                </c:pt>
                <c:pt idx="6">
                  <c:v>ANUPAM SHEHGAL</c:v>
                </c:pt>
                <c:pt idx="7">
                  <c:v>ANURAG NAIK</c:v>
                </c:pt>
                <c:pt idx="8">
                  <c:v>ASHISH ROY</c:v>
                </c:pt>
                <c:pt idx="9">
                  <c:v>BHUVAN SETH</c:v>
                </c:pt>
                <c:pt idx="10">
                  <c:v>DWAYNE D'SOUZA</c:v>
                </c:pt>
                <c:pt idx="11">
                  <c:v>FRANCIS MORRIS</c:v>
                </c:pt>
                <c:pt idx="12">
                  <c:v>GRACIANA D'SOUZA</c:v>
                </c:pt>
                <c:pt idx="13">
                  <c:v>HARDIK SHAH</c:v>
                </c:pt>
                <c:pt idx="14">
                  <c:v>HARSHIT PATEL</c:v>
                </c:pt>
                <c:pt idx="15">
                  <c:v>HEEMA SINGH</c:v>
                </c:pt>
                <c:pt idx="16">
                  <c:v>KAMLESH SASWANI</c:v>
                </c:pt>
                <c:pt idx="17">
                  <c:v>KAMLESH SIGNEWAR</c:v>
                </c:pt>
                <c:pt idx="18">
                  <c:v>KAPIL SHARMA</c:v>
                </c:pt>
                <c:pt idx="19">
                  <c:v>KASHISH BADGUJAR</c:v>
                </c:pt>
                <c:pt idx="20">
                  <c:v>KIRAN SONAWANE</c:v>
                </c:pt>
                <c:pt idx="21">
                  <c:v>KOMAL CHAUHAN</c:v>
                </c:pt>
                <c:pt idx="22">
                  <c:v>KRANTI NILE</c:v>
                </c:pt>
                <c:pt idx="23">
                  <c:v>MANIGANDAN VENKATARAMAN</c:v>
                </c:pt>
                <c:pt idx="24">
                  <c:v>MEENAL BHATT</c:v>
                </c:pt>
                <c:pt idx="25">
                  <c:v>NANDAN KHEDEKAR</c:v>
                </c:pt>
                <c:pt idx="26">
                  <c:v>NEERAJ MISHRA</c:v>
                </c:pt>
                <c:pt idx="27">
                  <c:v>OLI HUGGINS</c:v>
                </c:pt>
                <c:pt idx="28">
                  <c:v>PARTH PANDEY</c:v>
                </c:pt>
                <c:pt idx="29">
                  <c:v>PAWANKUMAR BHATTAD</c:v>
                </c:pt>
                <c:pt idx="30">
                  <c:v>PIYUSH GANDHI</c:v>
                </c:pt>
                <c:pt idx="31">
                  <c:v>POOJA CHAUDHARY</c:v>
                </c:pt>
                <c:pt idx="32">
                  <c:v>PRADEEP JHUNJHUNWALA</c:v>
                </c:pt>
                <c:pt idx="33">
                  <c:v>PRATEEK KHANDELWAL</c:v>
                </c:pt>
                <c:pt idx="34">
                  <c:v>PREETI YADAV</c:v>
                </c:pt>
                <c:pt idx="35">
                  <c:v>PRITHVI SEHGAL</c:v>
                </c:pt>
                <c:pt idx="36">
                  <c:v>RAJU PARMAR</c:v>
                </c:pt>
                <c:pt idx="37">
                  <c:v>SANDESH KARGAONKAR</c:v>
                </c:pt>
                <c:pt idx="38">
                  <c:v>SANJIV GUPTA</c:v>
                </c:pt>
                <c:pt idx="39">
                  <c:v>SANKET PAWAR</c:v>
                </c:pt>
                <c:pt idx="40">
                  <c:v>SAURABH MITTAL</c:v>
                </c:pt>
                <c:pt idx="41">
                  <c:v>SHALINI GAIKWAD</c:v>
                </c:pt>
                <c:pt idx="42">
                  <c:v>SHRAVAN MITTAL</c:v>
                </c:pt>
                <c:pt idx="43">
                  <c:v>SHRENIK KHASGIWALA</c:v>
                </c:pt>
                <c:pt idx="44">
                  <c:v>SHRINIVAS NAIK</c:v>
                </c:pt>
                <c:pt idx="45">
                  <c:v>SOHAM JHA</c:v>
                </c:pt>
                <c:pt idx="46">
                  <c:v>SUDIP MITRA</c:v>
                </c:pt>
                <c:pt idx="47">
                  <c:v>SWAPNIL MAHAPATRA</c:v>
                </c:pt>
                <c:pt idx="48">
                  <c:v>UMA KUMAVAT</c:v>
                </c:pt>
                <c:pt idx="49">
                  <c:v>VINAL SHAH</c:v>
                </c:pt>
                <c:pt idx="50">
                  <c:v>VIVEK SAHA</c:v>
                </c:pt>
                <c:pt idx="51">
                  <c:v>YASH SHAH</c:v>
                </c:pt>
                <c:pt idx="52">
                  <c:v>ZEESHAN MIRAJKAR</c:v>
                </c:pt>
              </c:strCache>
            </c:strRef>
          </c:cat>
          <c:val>
            <c:numRef>
              <c:f>Sheet4!$D$6:$D$59</c:f>
              <c:numCache>
                <c:formatCode>General</c:formatCode>
                <c:ptCount val="53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20">
                  <c:v>1</c:v>
                </c:pt>
                <c:pt idx="21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3</c:v>
                </c:pt>
                <c:pt idx="27">
                  <c:v>2</c:v>
                </c:pt>
                <c:pt idx="28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3</c:v>
                </c:pt>
                <c:pt idx="35">
                  <c:v>3</c:v>
                </c:pt>
                <c:pt idx="37">
                  <c:v>2</c:v>
                </c:pt>
                <c:pt idx="38">
                  <c:v>2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2</c:v>
                </c:pt>
                <c:pt idx="47">
                  <c:v>4</c:v>
                </c:pt>
                <c:pt idx="48">
                  <c:v>2</c:v>
                </c:pt>
                <c:pt idx="49">
                  <c:v>1</c:v>
                </c:pt>
                <c:pt idx="50">
                  <c:v>2</c:v>
                </c:pt>
                <c:pt idx="5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02-415C-B520-8AFAFEF83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5039848"/>
        <c:axId val="625040176"/>
        <c:axId val="0"/>
      </c:bar3DChart>
      <c:catAx>
        <c:axId val="625039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040176"/>
        <c:crosses val="autoZero"/>
        <c:auto val="1"/>
        <c:lblAlgn val="ctr"/>
        <c:lblOffset val="100"/>
        <c:noMultiLvlLbl val="0"/>
      </c:catAx>
      <c:valAx>
        <c:axId val="62504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039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 REQUEST.XLSX]Sheet3!PivotTable3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DIESEL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Sheet3!$A$5:$A$7</c:f>
              <c:strCache>
                <c:ptCount val="2"/>
                <c:pt idx="0">
                  <c:v>BANGLORE</c:v>
                </c:pt>
                <c:pt idx="1">
                  <c:v>MUMBAI</c:v>
                </c:pt>
              </c:strCache>
            </c:strRef>
          </c:cat>
          <c:val>
            <c:numRef>
              <c:f>Sheet3!$B$5:$B$7</c:f>
              <c:numCache>
                <c:formatCode>General</c:formatCode>
                <c:ptCount val="2"/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3C-476A-A302-CD6E96F032DA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PETROL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Sheet3!$A$5:$A$7</c:f>
              <c:strCache>
                <c:ptCount val="2"/>
                <c:pt idx="0">
                  <c:v>BANGLORE</c:v>
                </c:pt>
                <c:pt idx="1">
                  <c:v>MUMBAI</c:v>
                </c:pt>
              </c:strCache>
            </c:strRef>
          </c:cat>
          <c:val>
            <c:numRef>
              <c:f>Sheet3!$C$5:$C$7</c:f>
              <c:numCache>
                <c:formatCode>General</c:formatCode>
                <c:ptCount val="2"/>
                <c:pt idx="0">
                  <c:v>12</c:v>
                </c:pt>
                <c:pt idx="1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3C-476A-A302-CD6E96F03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49725256"/>
        <c:axId val="549731488"/>
        <c:axId val="0"/>
      </c:bar3DChart>
      <c:catAx>
        <c:axId val="549725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31488"/>
        <c:crosses val="autoZero"/>
        <c:auto val="1"/>
        <c:lblAlgn val="ctr"/>
        <c:lblOffset val="100"/>
        <c:noMultiLvlLbl val="0"/>
      </c:catAx>
      <c:valAx>
        <c:axId val="54973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25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1051560</xdr:colOff>
      <xdr:row>11</xdr:row>
      <xdr:rowOff>68580</xdr:rowOff>
    </xdr:from>
    <xdr:to>
      <xdr:col>8</xdr:col>
      <xdr:colOff>579120</xdr:colOff>
      <xdr:row>26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D6967A-1CCE-46AF-A127-C69E275C9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205740</xdr:colOff>
      <xdr:row>9</xdr:row>
      <xdr:rowOff>0</xdr:rowOff>
    </xdr:from>
    <xdr:to>
      <xdr:col>8</xdr:col>
      <xdr:colOff>22860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104192-2F80-4C19-9C2B-33EE4FF04A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ckt. sanjeetkumars" refreshedDate="43988.118779282406" createdVersion="6" refreshedVersion="6" minRefreshableVersion="3" recordCount="84" xr:uid="{D85250B4-9814-43CD-A9A3-4A58DBEB2892}">
  <cacheSource type="worksheet">
    <worksheetSource ref="B1:R85" sheet="CLAIM REQUEST DATABASE"/>
  </cacheSource>
  <cacheFields count="17">
    <cacheField name="E-CODE" numFmtId="0">
      <sharedItems/>
    </cacheField>
    <cacheField name="EMPLOYEE NAME" numFmtId="0">
      <sharedItems count="53">
        <s v="YASH SHAH"/>
        <s v="KAPIL SHARMA"/>
        <s v="SWAPNIL MAHAPATRA"/>
        <s v="PARTH PANDEY"/>
        <s v="GRACIANA D'SOUZA"/>
        <s v="AMAR RAGHAVAN"/>
        <s v="ABHISHEK PANDEY"/>
        <s v="KAMLESH SIGNEWAR"/>
        <s v="PRITHVI SEHGAL"/>
        <s v="NEERAJ MISHRA"/>
        <s v="ANUPAM SHEHGAL"/>
        <s v="SHALINI GAIKWAD"/>
        <s v="PRATEEK KHANDELWAL"/>
        <s v="PREETI YADAV"/>
        <s v="MEENAL BHATT"/>
        <s v="KIRAN SONAWANE"/>
        <s v="SUDIP MITRA"/>
        <s v="ANURAG NAIK"/>
        <s v="SANDESH KARGAONKAR"/>
        <s v="HARDIK SHAH"/>
        <s v="ZEESHAN MIRAJKAR"/>
        <s v="ANUJ KHANDELWAL"/>
        <s v="SHRAVAN MITTAL"/>
        <s v="AKSHAY BANERJEE"/>
        <s v="KAMLESH SASWANI"/>
        <s v="SHRENIK KHASGIWALA"/>
        <s v="BHUVAN SETH"/>
        <s v="KASHISH BADGUJAR"/>
        <s v="KOMAL CHAUHAN"/>
        <s v="UMA KUMAVAT"/>
        <s v="KRANTI NILE"/>
        <s v="PAWANKUMAR BHATTAD"/>
        <s v="RAJU PARMAR"/>
        <s v="VIVEK SAHA"/>
        <s v="AMEDA FURTADO"/>
        <s v="PRADEEP JHUNJHUNWALA"/>
        <s v="HARSHIT PATEL"/>
        <s v="FRANCIS MORRIS"/>
        <s v="HEEMA SINGH"/>
        <s v="OLI HUGGINS"/>
        <s v="SOHAM JHA"/>
        <s v="DWAYNE D'SOUZA"/>
        <s v="ASHISH ROY"/>
        <s v="SANJIV GUPTA"/>
        <s v="POOJA CHAUDHARY"/>
        <s v="PIYUSH GANDHI"/>
        <s v="SHRINIVAS NAIK"/>
        <s v="SAURABH MITTAL"/>
        <s v="MANIGANDAN VENKATARAMAN"/>
        <s v="SANKET PAWAR"/>
        <s v="ANUBHAV JUMANI"/>
        <s v="VINAL SHAH"/>
        <s v="NANDAN KHEDEKAR"/>
      </sharedItems>
    </cacheField>
    <cacheField name="VEHICLE NUMBER" numFmtId="0">
      <sharedItems count="53">
        <s v="MH01DK6303"/>
        <s v="MP09T0239"/>
        <s v="MH01CT7527"/>
        <s v="MH01DK7396"/>
        <s v="MH01DK2899"/>
        <s v="DL12CK4354"/>
        <s v="MH01DK6820"/>
        <s v="MH01CP1791"/>
        <s v="MH01CH0708"/>
        <s v="TS08GW9077"/>
        <s v="KA04MR8950"/>
        <s v="MH01DE2694"/>
        <s v="MH01CP1163"/>
        <s v="MH01CP5750"/>
        <s v="MH01DK7012"/>
        <s v="MH01CP7869"/>
        <s v="MH01DK6485"/>
        <s v="MH01CH2412"/>
        <s v="GJ01RS9839"/>
        <s v="MH01CT2045"/>
        <s v="MP13CB6613"/>
        <s v="MH01CH1813"/>
        <s v="MH01CH6038"/>
        <s v="MH01CH3965"/>
        <s v="DL12CK4854"/>
        <s v="MH01CH6376"/>
        <s v="MH01DK5122"/>
        <s v="WB02AK4591"/>
        <s v="MH01CP0858"/>
        <s v="MH01DK5685"/>
        <s v="MH01CP1439"/>
        <s v="MH01DK4948  "/>
        <s v="MH01DK3802"/>
        <s v="MH01CD8141"/>
        <s v="MH01CT0408"/>
        <s v="MH01CH5736"/>
        <s v="MH01DK6158"/>
        <s v="MH01CT0850"/>
        <s v="DL12CK4956"/>
        <s v="MH01DK4902"/>
        <s v="MH01CH5584"/>
        <s v="MH01DK3163"/>
        <s v="MH01DE1754"/>
        <s v="MH01DK6717"/>
        <s v="MH01DE2165"/>
        <s v="MH01CH5491"/>
        <s v="DL3CBE6666"/>
        <s v="WB02AP9057"/>
        <s v="MH01CH5881"/>
        <s v="UP36D4145"/>
        <s v="GJ01KX2431 "/>
        <s v="MH01CP0614"/>
        <s v="MH01DK5430"/>
      </sharedItems>
    </cacheField>
    <cacheField name="BRANCH" numFmtId="0">
      <sharedItems count="2">
        <s v="MUMBAI"/>
        <s v="BANGLORE"/>
      </sharedItems>
    </cacheField>
    <cacheField name="FUEL VARIANT" numFmtId="0">
      <sharedItems count="2">
        <s v="DIESEL"/>
        <s v="PETROL"/>
      </sharedItems>
    </cacheField>
    <cacheField name="MAKE" numFmtId="0">
      <sharedItems/>
    </cacheField>
    <cacheField name="MODEL" numFmtId="0">
      <sharedItems/>
    </cacheField>
    <cacheField name="DATE" numFmtId="164">
      <sharedItems containsSemiMixedTypes="0" containsNonDate="0" containsDate="1" containsString="0" minDate="2019-04-03T00:00:00" maxDate="2020-03-30T00:00:00"/>
    </cacheField>
    <cacheField name="FUEL IN LITRES" numFmtId="0">
      <sharedItems containsSemiMixedTypes="0" containsString="0" containsNumber="1" minValue="9.3000000000000007" maxValue="81.790000000000006"/>
    </cacheField>
    <cacheField name="FUEL COST" numFmtId="0">
      <sharedItems containsMixedTypes="1" containsNumber="1" minValue="747.16" maxValue="6890.81"/>
    </cacheField>
    <cacheField name="PRICE PER LITRE" numFmtId="0">
      <sharedItems containsSemiMixedTypes="0" containsString="0" containsNumber="1" minValue="67.56" maxValue="89.23"/>
    </cacheField>
    <cacheField name="RECEIPT" numFmtId="0">
      <sharedItems containsSemiMixedTypes="0" containsString="0" containsNumber="1" containsInteger="1" minValue="121213" maxValue="657005"/>
    </cacheField>
    <cacheField name="REASON" numFmtId="0">
      <sharedItems/>
    </cacheField>
    <cacheField name="DATE2" numFmtId="0">
      <sharedItems containsDate="1" containsMixedTypes="1" minDate="2019-04-06T00:00:00" maxDate="2020-03-22T00:00:00"/>
    </cacheField>
    <cacheField name="INSURANCE CLAIM" numFmtId="0">
      <sharedItems containsMixedTypes="1" containsNumber="1" containsInteger="1" minValue="4978" maxValue="638918"/>
    </cacheField>
    <cacheField name="INVOICE" numFmtId="0">
      <sharedItems/>
    </cacheField>
    <cacheField name="REASON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ckt. sanjeetkumars" refreshedDate="43988.160262500001" createdVersion="6" refreshedVersion="6" minRefreshableVersion="3" recordCount="86" xr:uid="{CF9FDB13-985B-41CB-B300-4CB25CDDA887}">
  <cacheSource type="worksheet">
    <worksheetSource ref="A2:E1048576" sheet="Sheet6"/>
  </cacheSource>
  <cacheFields count="7">
    <cacheField name="MONTH" numFmtId="0">
      <sharedItems containsBlank="1" count="13">
        <s v="Apr-19"/>
        <s v="May-19"/>
        <s v="Jun-19"/>
        <s v="Jul-19"/>
        <s v="Aug-19"/>
        <s v="Sep-19"/>
        <s v="Oct-19"/>
        <s v="Nov-19"/>
        <s v="Dec-19"/>
        <s v="Jan-20"/>
        <s v="Feb-20"/>
        <s v="Mar-20"/>
        <m/>
      </sharedItems>
    </cacheField>
    <cacheField name="DATE" numFmtId="0">
      <sharedItems containsNonDate="0" containsDate="1" containsString="0" containsBlank="1" minDate="2019-04-03T00:00:00" maxDate="2020-03-30T00:00:00" count="80">
        <d v="2019-04-14T00:00:00"/>
        <d v="2019-04-04T00:00:00"/>
        <d v="2019-04-30T00:00:00"/>
        <d v="2019-04-03T00:00:00"/>
        <d v="2019-04-24T00:00:00"/>
        <d v="2019-04-10T00:00:00"/>
        <d v="2019-05-16T00:00:00"/>
        <d v="2019-05-22T00:00:00"/>
        <d v="2019-05-15T00:00:00"/>
        <d v="2019-05-19T00:00:00"/>
        <d v="2019-05-29T00:00:00"/>
        <d v="2019-05-17T00:00:00"/>
        <d v="2019-05-30T00:00:00"/>
        <d v="2019-06-03T00:00:00"/>
        <d v="2019-06-18T00:00:00"/>
        <d v="2019-06-06T00:00:00"/>
        <d v="2019-06-19T00:00:00"/>
        <d v="2019-06-13T00:00:00"/>
        <d v="2019-06-27T00:00:00"/>
        <d v="2019-07-08T00:00:00"/>
        <d v="2019-07-29T00:00:00"/>
        <d v="2019-07-13T00:00:00"/>
        <d v="2019-07-02T00:00:00"/>
        <d v="2019-07-15T00:00:00"/>
        <d v="2019-07-28T00:00:00"/>
        <d v="2019-07-10T00:00:00"/>
        <d v="2019-08-14T00:00:00"/>
        <d v="2019-08-27T00:00:00"/>
        <d v="2019-08-19T00:00:00"/>
        <d v="2019-08-05T00:00:00"/>
        <d v="2019-08-22T00:00:00"/>
        <d v="2019-08-18T00:00:00"/>
        <d v="2019-09-09T00:00:00"/>
        <d v="2019-09-11T00:00:00"/>
        <d v="2019-09-27T00:00:00"/>
        <d v="2019-09-29T00:00:00"/>
        <d v="2019-09-25T00:00:00"/>
        <d v="2019-09-13T00:00:00"/>
        <d v="2019-09-12T00:00:00"/>
        <d v="2019-10-16T00:00:00"/>
        <d v="2019-10-06T00:00:00"/>
        <d v="2019-10-03T00:00:00"/>
        <d v="2019-10-15T00:00:00"/>
        <d v="2019-10-04T00:00:00"/>
        <d v="2019-10-05T00:00:00"/>
        <d v="2019-10-20T00:00:00"/>
        <d v="2019-11-25T00:00:00"/>
        <d v="2019-11-16T00:00:00"/>
        <d v="2019-11-26T00:00:00"/>
        <d v="2019-11-15T00:00:00"/>
        <d v="2019-11-06T00:00:00"/>
        <d v="2019-11-11T00:00:00"/>
        <d v="2019-12-06T00:00:00"/>
        <d v="2019-12-27T00:00:00"/>
        <d v="2019-12-10T00:00:00"/>
        <d v="2019-12-01T00:00:00"/>
        <d v="2019-12-26T00:00:00"/>
        <d v="2019-12-22T00:00:00"/>
        <d v="2020-01-13T00:00:00"/>
        <d v="2020-01-15T00:00:00"/>
        <d v="2020-01-23T00:00:00"/>
        <d v="2020-01-10T00:00:00"/>
        <d v="2020-01-06T00:00:00"/>
        <d v="2020-01-21T00:00:00"/>
        <d v="2020-01-02T00:00:00"/>
        <d v="2020-02-25T00:00:00"/>
        <d v="2020-02-26T00:00:00"/>
        <d v="2020-02-09T00:00:00"/>
        <d v="2020-02-23T00:00:00"/>
        <d v="2020-02-29T00:00:00"/>
        <d v="2020-02-04T00:00:00"/>
        <d v="2020-02-15T00:00:00"/>
        <d v="2020-03-29T00:00:00"/>
        <d v="2020-03-03T00:00:00"/>
        <d v="2020-03-15T00:00:00"/>
        <d v="2020-03-12T00:00:00"/>
        <d v="2020-03-13T00:00:00"/>
        <d v="2020-03-26T00:00:00"/>
        <d v="2020-03-05T00:00:00"/>
        <m/>
      </sharedItems>
      <fieldGroup par="6" base="1">
        <rangePr groupBy="months" startDate="2019-04-03T00:00:00" endDate="2020-03-30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30/2020"/>
        </groupItems>
      </fieldGroup>
    </cacheField>
    <cacheField name="FUEL COST" numFmtId="0">
      <sharedItems containsBlank="1" containsMixedTypes="1" containsNumber="1" minValue="747.16" maxValue="6890.81"/>
    </cacheField>
    <cacheField name="INSURANCE CLAIM" numFmtId="0">
      <sharedItems containsBlank="1" containsMixedTypes="1" containsNumber="1" containsInteger="1" minValue="4978" maxValue="638918"/>
    </cacheField>
    <cacheField name="EMPLOYEE NAME" numFmtId="0">
      <sharedItems containsBlank="1" count="54">
        <s v="YASH SHAH"/>
        <s v="KAPIL SHARMA"/>
        <s v="SWAPNIL MAHAPATRA"/>
        <s v="PARTH PANDEY"/>
        <s v="GRACIANA D'SOUZA"/>
        <s v="AMAR RAGHAVAN"/>
        <s v="ABHISHEK PANDEY"/>
        <s v="KAMLESH SIGNEWAR"/>
        <s v="PRITHVI SEHGAL"/>
        <s v="NEERAJ MISHRA"/>
        <s v="ANUPAM SHEHGAL"/>
        <s v="SHALINI GAIKWAD"/>
        <s v="PRATEEK KHANDELWAL"/>
        <s v="PREETI YADAV"/>
        <s v="MEENAL BHATT"/>
        <s v="KIRAN SONAWANE"/>
        <s v="SUDIP MITRA"/>
        <s v="ANURAG NAIK"/>
        <s v="SANDESH KARGAONKAR"/>
        <s v="HARDIK SHAH"/>
        <s v="ZEESHAN MIRAJKAR"/>
        <s v="ANUJ KHANDELWAL"/>
        <s v="SHRAVAN MITTAL"/>
        <s v="AKSHAY BANERJEE"/>
        <s v="KAMLESH SASWANI"/>
        <s v="SHRENIK KHASGIWALA"/>
        <s v="BHUVAN SETH"/>
        <s v="KASHISH BADGUJAR"/>
        <s v="KOMAL CHAUHAN"/>
        <s v="UMA KUMAVAT"/>
        <s v="KRANTI NILE"/>
        <s v="PAWANKUMAR BHATTAD"/>
        <s v="RAJU PARMAR"/>
        <s v="VIVEK SAHA"/>
        <s v="AMEDA FURTADO"/>
        <s v="PRADEEP JHUNJHUNWALA"/>
        <s v="HARSHIT PATEL"/>
        <s v="FRANCIS MORRIS"/>
        <s v="HEEMA SINGH"/>
        <s v="OLI HUGGINS"/>
        <s v="SOHAM JHA"/>
        <s v="DWAYNE D'SOUZA"/>
        <s v="ASHISH ROY"/>
        <s v="SANJIV GUPTA"/>
        <s v="POOJA CHAUDHARY"/>
        <s v="PIYUSH GANDHI"/>
        <s v="SHRINIVAS NAIK"/>
        <s v="SAURABH MITTAL"/>
        <s v="MANIGANDAN VENKATARAMAN"/>
        <s v="SANKET PAWAR"/>
        <s v="ANUBHAV JUMANI"/>
        <s v="VINAL SHAH"/>
        <s v="NANDAN KHEDEKAR"/>
        <m/>
      </sharedItems>
    </cacheField>
    <cacheField name="Quarters" numFmtId="0" databaseField="0">
      <fieldGroup base="1">
        <rangePr groupBy="quarters" startDate="2019-04-03T00:00:00" endDate="2020-03-30T00:00:00"/>
        <groupItems count="6">
          <s v="&lt;4/3/2019"/>
          <s v="Qtr1"/>
          <s v="Qtr2"/>
          <s v="Qtr3"/>
          <s v="Qtr4"/>
          <s v="&gt;3/30/2020"/>
        </groupItems>
      </fieldGroup>
    </cacheField>
    <cacheField name="Years" numFmtId="0" databaseField="0">
      <fieldGroup base="1">
        <rangePr groupBy="years" startDate="2019-04-03T00:00:00" endDate="2020-03-30T00:00:00"/>
        <groupItems count="4">
          <s v="&lt;4/3/2019"/>
          <s v="2019"/>
          <s v="2020"/>
          <s v="&gt;3/30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s v="E103"/>
    <x v="0"/>
    <x v="0"/>
    <x v="0"/>
    <x v="0"/>
    <s v="Volkswagen"/>
    <s v="Volkswagen Tiguan Highline TDI DSG 2.0 AT"/>
    <d v="2019-04-14T00:00:00"/>
    <n v="37.4"/>
    <n v="2528.9899999999998"/>
    <n v="67.62"/>
    <n v="223331"/>
    <s v="Company's Gathering"/>
    <s v="XXXX"/>
    <s v="XXXX"/>
    <s v="XXXX"/>
    <s v="XXXX"/>
  </r>
  <r>
    <s v="E118"/>
    <x v="1"/>
    <x v="1"/>
    <x v="0"/>
    <x v="1"/>
    <s v="Toyota"/>
    <s v="Toyota Camry Hybrid"/>
    <d v="2019-04-04T00:00:00"/>
    <n v="48.51"/>
    <n v="3767.29"/>
    <n v="77.66"/>
    <n v="121213"/>
    <s v="Event at Andheri Metro station "/>
    <s v="XXXX"/>
    <s v="XXXX"/>
    <s v="XXXX"/>
    <s v="XXXX"/>
  </r>
  <r>
    <s v="E113"/>
    <x v="2"/>
    <x v="2"/>
    <x v="0"/>
    <x v="1"/>
    <s v="Toyota"/>
    <s v="Toyota Fortuner"/>
    <d v="2019-04-14T00:00:00"/>
    <n v="61.85"/>
    <n v="4195.29"/>
    <n v="67.83"/>
    <n v="212133"/>
    <s v="Award Event held in Andheri"/>
    <s v="XXXX"/>
    <s v="XXXX"/>
    <s v="XXXX"/>
    <s v="XXXX"/>
  </r>
  <r>
    <s v="E104"/>
    <x v="3"/>
    <x v="3"/>
    <x v="0"/>
    <x v="1"/>
    <s v="BMW"/>
    <s v="BMW 6 30i GT Luxury Line 2018 AT"/>
    <d v="2019-04-30T00:00:00"/>
    <n v="48"/>
    <n v="3255.84"/>
    <n v="67.83"/>
    <n v="343221"/>
    <s v="Company's function"/>
    <d v="2019-04-23T00:00:00"/>
    <n v="418806"/>
    <s v="V4554901"/>
    <s v="Accidental repairs"/>
  </r>
  <r>
    <s v="E126"/>
    <x v="4"/>
    <x v="4"/>
    <x v="0"/>
    <x v="1"/>
    <s v="Honda"/>
    <s v="Honda City ZX MT "/>
    <d v="2019-04-03T00:00:00"/>
    <n v="44.2"/>
    <n v="3434.78"/>
    <n v="77.709999999999994"/>
    <n v="354532"/>
    <s v="Award Event"/>
    <d v="2019-04-06T00:00:00"/>
    <n v="102114"/>
    <s v="D5465667"/>
    <s v="renew of Rear windshield &amp; Front bumper"/>
  </r>
  <r>
    <s v="E132"/>
    <x v="5"/>
    <x v="5"/>
    <x v="0"/>
    <x v="1"/>
    <s v="Hyundai"/>
    <s v="Hyundai Creta 1.6 SX + CRDI"/>
    <d v="2019-04-24T00:00:00"/>
    <n v="13.71"/>
    <n v="1022.78"/>
    <n v="74.56"/>
    <n v="243542"/>
    <s v="Event at Andheri Metro station "/>
    <d v="2019-04-20T00:00:00"/>
    <n v="104122"/>
    <s v="A7584785"/>
    <s v="Accidental repairs"/>
  </r>
  <r>
    <s v="E128"/>
    <x v="6"/>
    <x v="6"/>
    <x v="0"/>
    <x v="1"/>
    <s v="Maruti"/>
    <s v="Maruti XL6 Smarty Hybrid Zeta AT"/>
    <d v="2019-04-10T00:00:00"/>
    <n v="31.46"/>
    <s v="2, 345.67"/>
    <n v="74.56"/>
    <n v="323321"/>
    <s v="Award Event held in Andheri"/>
    <s v="XXXX"/>
    <s v="XXXX"/>
    <s v="XXXX"/>
    <s v="XXXX"/>
  </r>
  <r>
    <s v="E107"/>
    <x v="7"/>
    <x v="7"/>
    <x v="0"/>
    <x v="1"/>
    <s v="BMW"/>
    <s v="BMW 320 D"/>
    <d v="2019-05-16T00:00:00"/>
    <n v="40.47"/>
    <n v="2742.65"/>
    <n v="67.77"/>
    <n v="135432"/>
    <s v="Award Event held in Andheri"/>
    <s v="XXXX"/>
    <s v="XXXX"/>
    <s v="XXXX"/>
    <s v="XXXX"/>
  </r>
  <r>
    <s v="E113"/>
    <x v="2"/>
    <x v="2"/>
    <x v="0"/>
    <x v="1"/>
    <s v="Toyota"/>
    <s v="Toyota Fortuner"/>
    <d v="2019-05-22T00:00:00"/>
    <n v="30.21"/>
    <n v="2371.9499999999998"/>
    <n v="78.510000000000005"/>
    <n v="423144"/>
    <s v="Company's Gathering"/>
    <s v="XXXX"/>
    <s v="XXXX"/>
    <s v="XXXX"/>
    <s v="XXXX"/>
  </r>
  <r>
    <s v="E101"/>
    <x v="8"/>
    <x v="8"/>
    <x v="0"/>
    <x v="0"/>
    <s v="Toyota"/>
    <s v="Toyota Innova Crysta"/>
    <d v="2019-05-15T00:00:00"/>
    <n v="49.76"/>
    <n v="3372.24"/>
    <n v="67.77"/>
    <n v="231311"/>
    <s v="Award Event held in Andheri"/>
    <s v="XXXX"/>
    <s v="XXXX"/>
    <s v="XXXX"/>
    <s v="XXXX"/>
  </r>
  <r>
    <s v="E116"/>
    <x v="9"/>
    <x v="9"/>
    <x v="0"/>
    <x v="0"/>
    <s v="Toyota"/>
    <s v="Toyota Crysta 2.4 VX 8 STR MT "/>
    <d v="2019-05-19T00:00:00"/>
    <n v="50.31"/>
    <n v="3409.51"/>
    <n v="67.77"/>
    <n v="425453"/>
    <s v="Award Event"/>
    <d v="2019-05-17T00:00:00"/>
    <n v="64370"/>
    <s v="R5454658"/>
    <s v="Accidental damages"/>
  </r>
  <r>
    <s v="E106"/>
    <x v="10"/>
    <x v="10"/>
    <x v="0"/>
    <x v="1"/>
    <s v="Toyota"/>
    <s v="Toyota Corolla Altis"/>
    <d v="2019-05-29T00:00:00"/>
    <n v="46.07"/>
    <n v="3574.57"/>
    <n v="77.59"/>
    <n v="334232"/>
    <s v="Company's Gathering"/>
    <d v="2019-05-25T00:00:00"/>
    <n v="41696"/>
    <s v="E5353553"/>
    <s v="2nd claim of front RHS outer view mirror"/>
  </r>
  <r>
    <s v="E110"/>
    <x v="11"/>
    <x v="11"/>
    <x v="0"/>
    <x v="0"/>
    <s v="Toyota"/>
    <s v="Innova Crysta GX 7 Seater MT"/>
    <d v="2019-05-17T00:00:00"/>
    <n v="19.86"/>
    <n v="1345.9"/>
    <n v="67.77"/>
    <n v="313121"/>
    <s v="Award Event"/>
    <d v="2019-05-12T00:00:00"/>
    <n v="131712"/>
    <s v="C5653901"/>
    <s v="Accidental repairs"/>
  </r>
  <r>
    <s v="E108"/>
    <x v="12"/>
    <x v="12"/>
    <x v="0"/>
    <x v="1"/>
    <s v="Skoda"/>
    <s v="Skoda Octvia 1.8 TSI"/>
    <d v="2019-05-30T00:00:00"/>
    <n v="21.48"/>
    <n v="1667.89"/>
    <n v="77.64"/>
    <n v="213231"/>
    <s v="Company's Gathering"/>
    <s v="XXXX"/>
    <s v="XXXX"/>
    <s v="XXXX"/>
    <s v="XXXX"/>
  </r>
  <r>
    <s v="E111"/>
    <x v="13"/>
    <x v="13"/>
    <x v="0"/>
    <x v="1"/>
    <s v="Hyundai"/>
    <s v="Hyundai Elantra  VTVT SX (0)AT"/>
    <d v="2019-06-03T00:00:00"/>
    <n v="60.11"/>
    <n v="4073.65"/>
    <n v="67.77"/>
    <n v="123231"/>
    <s v="Award Event held in Andheri"/>
    <d v="2019-06-03T00:00:00"/>
    <n v="44061"/>
    <s v="S6422908"/>
    <s v="LHS &amp; RHS Front &amp; rear doors and rear bumper"/>
  </r>
  <r>
    <s v="E105"/>
    <x v="14"/>
    <x v="14"/>
    <x v="0"/>
    <x v="0"/>
    <s v="BMW"/>
    <s v="BMW 520 D Luxury Line AT "/>
    <d v="2019-06-18T00:00:00"/>
    <n v="66.41"/>
    <n v="5347.33"/>
    <n v="80.52"/>
    <n v="313121"/>
    <s v="Company's Gathering"/>
    <d v="2019-06-06T00:00:00"/>
    <n v="477075"/>
    <s v="H5466690"/>
    <s v="Accidental repairs"/>
  </r>
  <r>
    <s v="E117"/>
    <x v="15"/>
    <x v="15"/>
    <x v="0"/>
    <x v="1"/>
    <s v="Mahindra"/>
    <s v="Mahindra Scorpio"/>
    <d v="2019-06-18T00:00:00"/>
    <n v="48.4"/>
    <n v="3286.36"/>
    <n v="67.900000000000006"/>
    <n v="313131"/>
    <s v="Award Event held in Andheri"/>
    <d v="2019-06-08T00:00:00"/>
    <n v="85138"/>
    <s v="M8892201"/>
    <s v="Front &amp; rear bumper, fron LHS door, repair RHS tail light"/>
  </r>
  <r>
    <s v="E122"/>
    <x v="16"/>
    <x v="16"/>
    <x v="0"/>
    <x v="1"/>
    <s v="Hyundai"/>
    <s v="Hyundai Creta 1.6 SX AT "/>
    <d v="2019-06-06T00:00:00"/>
    <n v="38"/>
    <n v="2582.1"/>
    <n v="67.95"/>
    <n v="424212"/>
    <s v="Award Event"/>
    <s v="XXXX"/>
    <s v="XXXX"/>
    <s v="XXXX"/>
    <s v="XXXX"/>
  </r>
  <r>
    <s v="E135"/>
    <x v="17"/>
    <x v="17"/>
    <x v="0"/>
    <x v="0"/>
    <s v="Hyundai"/>
    <s v="Hyundai Creata SX+AT 1.6 "/>
    <d v="2019-06-19T00:00:00"/>
    <n v="63"/>
    <n v="4908.96"/>
    <n v="77.92"/>
    <n v="131314"/>
    <s v="Company's Gathering"/>
    <s v="XXXX"/>
    <s v="XXXX"/>
    <s v="XXXX"/>
    <s v="XXXX"/>
  </r>
  <r>
    <s v="E129"/>
    <x v="18"/>
    <x v="18"/>
    <x v="0"/>
    <x v="1"/>
    <s v="Honda"/>
    <s v="Honda BRV VCVT"/>
    <d v="2019-06-13T00:00:00"/>
    <n v="30.27"/>
    <n v="2345.1"/>
    <n v="77.45"/>
    <n v="142323"/>
    <s v="Award Event"/>
    <s v="XXXX"/>
    <s v="XXXX"/>
    <s v="XXXX"/>
    <s v="XXXX"/>
  </r>
  <r>
    <s v="E175"/>
    <x v="19"/>
    <x v="19"/>
    <x v="1"/>
    <x v="1"/>
    <s v="Hyundai"/>
    <s v="Hyundai Creta 1.6"/>
    <d v="2019-06-27T00:00:00"/>
    <n v="14.94"/>
    <n v="1111.1099999999999"/>
    <n v="74.34"/>
    <n v="231213"/>
    <s v="Company's Gathering"/>
    <s v="XXXX"/>
    <s v="XXXX"/>
    <s v="XXXX"/>
    <s v="XXXX"/>
  </r>
  <r>
    <s v="E172"/>
    <x v="20"/>
    <x v="20"/>
    <x v="1"/>
    <x v="1"/>
    <s v="Maruti"/>
    <s v="Maruti Suuki Swift Dzire"/>
    <d v="2019-07-08T00:00:00"/>
    <n v="59.21"/>
    <n v="4000"/>
    <n v="67.56"/>
    <n v="131313"/>
    <s v="Award Event in Banglore"/>
    <s v="XXXX"/>
    <s v="XXXX"/>
    <s v="XXXX"/>
    <s v="XXXX"/>
  </r>
  <r>
    <s v="E157"/>
    <x v="21"/>
    <x v="21"/>
    <x v="0"/>
    <x v="1"/>
    <s v="Toyota"/>
    <s v="Toyota Etios Liva "/>
    <d v="2019-07-29T00:00:00"/>
    <n v="28.8"/>
    <n v="1983.46"/>
    <n v="68.87"/>
    <n v="132425"/>
    <s v="Company's Gathering"/>
    <s v="XXXX"/>
    <s v="XXXX"/>
    <s v="XXXX"/>
    <s v="XXXX"/>
  </r>
  <r>
    <s v="E142"/>
    <x v="22"/>
    <x v="22"/>
    <x v="0"/>
    <x v="1"/>
    <s v="Maruti"/>
    <s v="Maruti Wagon R VXI"/>
    <d v="2019-07-13T00:00:00"/>
    <n v="54.3"/>
    <n v="4411.88"/>
    <n v="81.25"/>
    <n v="423232"/>
    <s v="Award Event held in Andheri"/>
    <s v="XXXX"/>
    <s v="XXXX"/>
    <s v="XXXX"/>
    <s v="XXXX"/>
  </r>
  <r>
    <s v="E162"/>
    <x v="23"/>
    <x v="23"/>
    <x v="0"/>
    <x v="1"/>
    <s v="Maruti"/>
    <s v="Maruti Wagon R  LXI"/>
    <d v="2019-07-02T00:00:00"/>
    <n v="40"/>
    <n v="2754.8"/>
    <n v="68.87"/>
    <n v="323422"/>
    <s v="Award Event"/>
    <s v="XXXX"/>
    <s v="XXXX"/>
    <s v="XXXX"/>
    <s v="XXXX"/>
  </r>
  <r>
    <s v="E144"/>
    <x v="24"/>
    <x v="24"/>
    <x v="0"/>
    <x v="0"/>
    <s v="Chevrolet"/>
    <s v="Chevrolet Beat LT "/>
    <d v="2019-07-15T00:00:00"/>
    <n v="52"/>
    <n v="4086.16"/>
    <n v="78.58"/>
    <n v="424222"/>
    <s v="Company's Gathering"/>
    <s v="XXXX"/>
    <s v="XXXX"/>
    <s v="XXXX"/>
    <s v="XXXX"/>
  </r>
  <r>
    <s v="E160"/>
    <x v="25"/>
    <x v="25"/>
    <x v="0"/>
    <x v="1"/>
    <s v="Hyundai"/>
    <s v="Hyundai Creta 1.6"/>
    <d v="2019-07-28T00:00:00"/>
    <n v="38.020000000000003"/>
    <n v="2986.46"/>
    <n v="78.53"/>
    <n v="243232"/>
    <s v="Award Event"/>
    <d v="2019-07-26T00:00:00"/>
    <n v="85138"/>
    <s v="T6271892"/>
    <s v="front &amp; rear bumper, front right door and rear right qtr panel"/>
  </r>
  <r>
    <s v="E115"/>
    <x v="26"/>
    <x v="26"/>
    <x v="0"/>
    <x v="1"/>
    <s v="Mercedes-Benz "/>
    <s v="Benz GLC 300 Progressive"/>
    <d v="2019-07-10T00:00:00"/>
    <n v="36.83"/>
    <n v="2898.35"/>
    <n v="78.680000000000007"/>
    <n v="122212"/>
    <s v="Company's Gathering"/>
    <d v="2019-07-10T00:00:00"/>
    <n v="487451"/>
    <s v="S1121209"/>
    <s v="Front grill, front &amp; rear bumper, Front Left door &amp; RHS headlamp"/>
  </r>
  <r>
    <s v="E175"/>
    <x v="19"/>
    <x v="19"/>
    <x v="1"/>
    <x v="1"/>
    <s v="Hyundai"/>
    <s v="Hyundai Creta 1.6"/>
    <d v="2019-08-14T00:00:00"/>
    <n v="58.85"/>
    <n v="4624.43"/>
    <n v="78.58"/>
    <n v="423243"/>
    <s v="Award Event in Banglore"/>
    <s v="XXXX"/>
    <s v="XXXX"/>
    <s v="XXXX"/>
    <s v="XXXX"/>
  </r>
  <r>
    <s v="E173"/>
    <x v="27"/>
    <x v="27"/>
    <x v="1"/>
    <x v="1"/>
    <s v="Maruti"/>
    <s v="Maruti Ciaz ZXI"/>
    <d v="2019-08-27T00:00:00"/>
    <n v="67.7"/>
    <n v="5520.94"/>
    <n v="81.55"/>
    <n v="323434"/>
    <s v="Company's Gathering"/>
    <d v="2019-08-08T00:00:00"/>
    <n v="75343"/>
    <s v="D8892237"/>
    <s v="Front Left Door repair &amp; paint"/>
  </r>
  <r>
    <s v="E170"/>
    <x v="28"/>
    <x v="28"/>
    <x v="0"/>
    <x v="1"/>
    <s v="Maruti"/>
    <s v="Maruti Ertiga VXI "/>
    <d v="2019-08-19T00:00:00"/>
    <n v="47.31"/>
    <n v="3282.84"/>
    <n v="69.39"/>
    <n v="234342"/>
    <s v="Award Event held in Andheri"/>
    <d v="2019-08-24T00:00:00"/>
    <n v="57560"/>
    <s v="Y7383990"/>
    <s v="Repair &amp; Paint L &amp; R doors and qtr panels"/>
  </r>
  <r>
    <s v="E167"/>
    <x v="29"/>
    <x v="29"/>
    <x v="0"/>
    <x v="1"/>
    <s v="Hyundai"/>
    <s v="Venue 1.2 S VTVT MT"/>
    <d v="2019-08-27T00:00:00"/>
    <n v="54.32"/>
    <n v="3769.26"/>
    <n v="69.39"/>
    <n v="432434"/>
    <s v="Award Event"/>
    <d v="2019-08-21T00:00:00"/>
    <n v="114822"/>
    <s v="R6483748"/>
    <s v="Accidental repairs"/>
  </r>
  <r>
    <s v="E176"/>
    <x v="30"/>
    <x v="30"/>
    <x v="1"/>
    <x v="1"/>
    <s v="Maruti"/>
    <s v="Maruti Ciaz "/>
    <d v="2019-08-05T00:00:00"/>
    <n v="54.52"/>
    <n v="4302.72"/>
    <n v="78.92"/>
    <n v="424343"/>
    <s v="Company's Gathering"/>
    <s v="XXXX"/>
    <s v="XXXX"/>
    <s v="XXXX"/>
    <s v="XXXX"/>
  </r>
  <r>
    <s v="E177"/>
    <x v="31"/>
    <x v="31"/>
    <x v="1"/>
    <x v="1"/>
    <s v="Hyundai "/>
    <s v="Grand Nios Sportz AMT "/>
    <d v="2019-08-22T00:00:00"/>
    <n v="47.1"/>
    <n v="3564.48"/>
    <n v="75.67"/>
    <n v="434324"/>
    <s v="Award Event"/>
    <s v="XXXX"/>
    <s v="XXXX"/>
    <s v="XXXX"/>
    <s v="XXXX"/>
  </r>
  <r>
    <s v="E178"/>
    <x v="32"/>
    <x v="32"/>
    <x v="1"/>
    <x v="1"/>
    <s v="Renault"/>
    <s v="Triber RXT MT "/>
    <d v="2019-08-18T00:00:00"/>
    <n v="27.51"/>
    <n v="2112.89"/>
    <n v="76.78"/>
    <n v="434352"/>
    <s v="Company's Gathering"/>
    <s v="XXXX"/>
    <s v="XXXX"/>
    <s v="XXXX"/>
    <s v="XXXX"/>
  </r>
  <r>
    <s v="E134"/>
    <x v="33"/>
    <x v="33"/>
    <x v="0"/>
    <x v="0"/>
    <s v="Hyundai"/>
    <s v="Hyundai Creta 1.4 S+ "/>
    <d v="2019-09-09T00:00:00"/>
    <n v="54.22"/>
    <n v="4103.84"/>
    <n v="75.680000000000007"/>
    <n v="333211"/>
    <s v="Award Event held in Andheri"/>
    <d v="2019-09-19T00:00:00"/>
    <n v="9933"/>
    <s v="O5735759"/>
    <s v="Accidental repairs"/>
  </r>
  <r>
    <s v="E131"/>
    <x v="34"/>
    <x v="34"/>
    <x v="0"/>
    <x v="1"/>
    <s v="Hyundai"/>
    <s v="Hyundai Creta 1.6"/>
    <d v="2019-09-11T00:00:00"/>
    <n v="65"/>
    <n v="5338.45"/>
    <n v="82.13"/>
    <n v="243444"/>
    <s v="Company's Gathering"/>
    <d v="2019-09-25T00:00:00"/>
    <n v="24247"/>
    <s v="G5454908"/>
    <s v="Front LHS Tire &amp; Alloy Wheel"/>
  </r>
  <r>
    <s v="E124"/>
    <x v="35"/>
    <x v="35"/>
    <x v="0"/>
    <x v="1"/>
    <s v="Honda"/>
    <s v="Honda City 1.5"/>
    <d v="2019-09-27T00:00:00"/>
    <n v="33.369999999999997"/>
    <n v="2330.23"/>
    <n v="69.83"/>
    <n v="543331"/>
    <s v="Award Event held in Andheri"/>
    <s v="XXXX"/>
    <s v="XXXX"/>
    <s v="XXXX"/>
    <s v="XXXX"/>
  </r>
  <r>
    <s v="E125"/>
    <x v="36"/>
    <x v="36"/>
    <x v="0"/>
    <x v="1"/>
    <s v="Maruti"/>
    <s v="Maruti XL6 Smarty Hybrid Zeta MT"/>
    <d v="2019-09-29T00:00:00"/>
    <n v="55.8"/>
    <n v="3896.51"/>
    <n v="69.83"/>
    <n v="333432"/>
    <s v="Award Event"/>
    <s v="XXXX"/>
    <s v="XXXX"/>
    <s v="XXXX"/>
    <s v="XXXX"/>
  </r>
  <r>
    <s v="E130"/>
    <x v="37"/>
    <x v="37"/>
    <x v="0"/>
    <x v="1"/>
    <s v="Hyundai"/>
    <s v="Hyundai Creta 1.6"/>
    <d v="2019-09-25T00:00:00"/>
    <n v="37"/>
    <n v="2588.89"/>
    <n v="69.97"/>
    <n v="224232"/>
    <s v="Company's Gathering"/>
    <s v="XXXX"/>
    <s v="XXXX"/>
    <s v="XXXX"/>
    <s v="XXXX"/>
  </r>
  <r>
    <s v="E136"/>
    <x v="38"/>
    <x v="38"/>
    <x v="0"/>
    <x v="1"/>
    <s v="Hyundai"/>
    <s v="Hyundai Creta 1.6"/>
    <d v="2019-09-13T00:00:00"/>
    <n v="17.12"/>
    <n v="1345.56"/>
    <n v="78.569999999999993"/>
    <n v="424242"/>
    <s v="Award Event"/>
    <d v="2019-09-02T00:00:00"/>
    <n v="48028"/>
    <s v="L9087554"/>
    <s v="Accidental repairs"/>
  </r>
  <r>
    <s v="E165"/>
    <x v="39"/>
    <x v="39"/>
    <x v="0"/>
    <x v="1"/>
    <s v="Maruti"/>
    <s v="Nexa XL6 Smarty Hybrid Zeta MT "/>
    <d v="2019-09-12T00:00:00"/>
    <n v="21.34"/>
    <n v="1678.9"/>
    <n v="78.67"/>
    <n v="341213"/>
    <s v="Company's Gathering"/>
    <s v="XXXX"/>
    <s v="XXXX"/>
    <s v="XXXX"/>
    <s v="XXXX"/>
  </r>
  <r>
    <s v="E113"/>
    <x v="2"/>
    <x v="2"/>
    <x v="0"/>
    <x v="1"/>
    <s v="Toyota"/>
    <s v="Toyota Fortuner"/>
    <d v="2019-10-16T00:00:00"/>
    <n v="10.19"/>
    <n v="810.3"/>
    <n v="79.52"/>
    <n v="444321"/>
    <s v="Award Event held in Andheri"/>
    <d v="2019-10-05T00:00:00"/>
    <n v="18432"/>
    <s v="Q3324909"/>
    <s v="Front bumper damaged"/>
  </r>
  <r>
    <s v="E101"/>
    <x v="8"/>
    <x v="8"/>
    <x v="0"/>
    <x v="0"/>
    <s v="Toyota"/>
    <s v="Toyota Innova Crysta"/>
    <d v="2019-10-06T00:00:00"/>
    <n v="50.83"/>
    <n v="4056.23"/>
    <n v="79.8"/>
    <n v="223443"/>
    <s v="Company's Gathering"/>
    <s v="XXXX"/>
    <s v="XXXX"/>
    <s v="XXXX"/>
    <s v="XXXX"/>
  </r>
  <r>
    <s v="E116"/>
    <x v="9"/>
    <x v="9"/>
    <x v="0"/>
    <x v="0"/>
    <s v="Toyota"/>
    <s v="Toyota Crysta 2.4 VX 8 STR MT "/>
    <d v="2019-10-03T00:00:00"/>
    <n v="72"/>
    <n v="5952.96"/>
    <n v="82.68"/>
    <n v="545451"/>
    <s v="Award Event held in Andheri"/>
    <s v="XXXX"/>
    <s v="XXXX"/>
    <s v="XXXX"/>
    <s v="XXXX"/>
  </r>
  <r>
    <s v="E106"/>
    <x v="10"/>
    <x v="10"/>
    <x v="0"/>
    <x v="1"/>
    <s v="Toyota"/>
    <s v="Toyota Corolla Altis"/>
    <d v="2019-10-15T00:00:00"/>
    <n v="55"/>
    <n v="4403.8500000000004"/>
    <n v="80.069999999999993"/>
    <n v="434352"/>
    <s v="Award Event"/>
    <s v="XXXX"/>
    <s v="XXXX"/>
    <s v="XXXX"/>
    <s v="XXXX"/>
  </r>
  <r>
    <s v="E110"/>
    <x v="11"/>
    <x v="11"/>
    <x v="0"/>
    <x v="0"/>
    <s v="Toyota"/>
    <s v="Innova Crysta GX 7 Seater MT"/>
    <d v="2019-10-04T00:00:00"/>
    <n v="53"/>
    <n v="4243.71"/>
    <n v="80.069999999999993"/>
    <n v="442331"/>
    <s v="Company's Gathering"/>
    <d v="2019-10-16T00:00:00"/>
    <n v="94115"/>
    <s v="P5353535"/>
    <s v="RL door, Rear wheel moulding, front bumper &amp; front wheel moulding"/>
  </r>
  <r>
    <s v="E108"/>
    <x v="12"/>
    <x v="12"/>
    <x v="0"/>
    <x v="1"/>
    <s v="Skoda"/>
    <s v="Skoda Octvia 1.8 TSI"/>
    <d v="2019-10-05T00:00:00"/>
    <n v="29.9"/>
    <n v="2345.9"/>
    <n v="78.45"/>
    <n v="546243"/>
    <s v="Award Event"/>
    <d v="2019-10-16T00:00:00"/>
    <n v="68110"/>
    <s v="U6644441"/>
    <s v="Accidental repairs"/>
  </r>
  <r>
    <s v="E111"/>
    <x v="13"/>
    <x v="13"/>
    <x v="0"/>
    <x v="1"/>
    <s v="Hyundai"/>
    <s v="Hyundai Elantra  VTVT SX (0)AT"/>
    <d v="2019-10-20T00:00:00"/>
    <n v="24.18"/>
    <n v="1897.68"/>
    <n v="78.459999999999994"/>
    <n v="477860"/>
    <s v="Company's Gathering"/>
    <s v="XXXX"/>
    <s v="XXXX"/>
    <s v="XXXX"/>
    <s v="XXXX"/>
  </r>
  <r>
    <s v="E127"/>
    <x v="40"/>
    <x v="40"/>
    <x v="0"/>
    <x v="1"/>
    <s v="Hyundai"/>
    <s v="Hyundai Creta 1.6"/>
    <d v="2019-11-25T00:00:00"/>
    <n v="31.2"/>
    <n v="2505.0500000000002"/>
    <n v="80.290000000000006"/>
    <n v="488906"/>
    <s v="Award Event held in Andheri"/>
    <s v="XXXX"/>
    <s v="XXXX"/>
    <s v="XXXX"/>
    <s v="XXXX"/>
  </r>
  <r>
    <s v="E134"/>
    <x v="33"/>
    <x v="33"/>
    <x v="0"/>
    <x v="0"/>
    <s v="Hyundai"/>
    <s v="Hyundai Creta 1.4 S+ "/>
    <d v="2019-11-16T00:00:00"/>
    <n v="52"/>
    <n v="3701.88"/>
    <n v="71.19"/>
    <n v="299087"/>
    <s v="Company's Gathering"/>
    <d v="2019-11-23T00:00:00"/>
    <n v="45283"/>
    <s v="N5453333"/>
    <s v="Massive Accidental repairs RHS"/>
  </r>
  <r>
    <s v="E131"/>
    <x v="34"/>
    <x v="34"/>
    <x v="0"/>
    <x v="1"/>
    <s v="Hyundai"/>
    <s v="Hyundai Creta 1.6"/>
    <d v="2019-11-26T00:00:00"/>
    <n v="30.36"/>
    <n v="2167.4"/>
    <n v="71.39"/>
    <n v="129908"/>
    <s v="Award Event held in Andheri"/>
    <d v="2019-11-14T00:00:00"/>
    <n v="68110"/>
    <s v="C4438960"/>
    <s v="Front &amp; Rear Bumper, Rear LHS Door, fender &amp; tail lamp"/>
  </r>
  <r>
    <s v="E112"/>
    <x v="41"/>
    <x v="41"/>
    <x v="0"/>
    <x v="0"/>
    <s v="Mercedes-Benz"/>
    <s v="GLC 220 Prime AT "/>
    <d v="2019-11-15T00:00:00"/>
    <n v="57.98"/>
    <n v="4139.1899999999996"/>
    <n v="71.39"/>
    <n v="266789"/>
    <s v="Award Event"/>
    <d v="2019-11-25T00:00:00"/>
    <n v="638918"/>
    <s v="M8894038"/>
    <s v="RHS door &amp; fender"/>
  </r>
  <r>
    <s v="E136"/>
    <x v="38"/>
    <x v="38"/>
    <x v="0"/>
    <x v="1"/>
    <s v="Hyundai"/>
    <s v="Hyundai Creta 1.6"/>
    <d v="2019-11-06T00:00:00"/>
    <n v="44.03"/>
    <n v="3928.59"/>
    <n v="89.23"/>
    <n v="128876"/>
    <s v="Company's Gathering"/>
    <s v="XXXX"/>
    <s v="XXXX"/>
    <s v="XXXX"/>
    <s v="XXXX"/>
  </r>
  <r>
    <s v="E165"/>
    <x v="39"/>
    <x v="39"/>
    <x v="0"/>
    <x v="1"/>
    <s v="Maruti"/>
    <s v="Nexa XL6 Smarty Hybrid Zeta MT "/>
    <d v="2019-11-26T00:00:00"/>
    <n v="32.779473267774385"/>
    <n v="2900"/>
    <n v="88.47"/>
    <n v="255670"/>
    <s v="Award Event"/>
    <s v="XXXX"/>
    <s v="XXXX"/>
    <s v="XXXX"/>
    <s v="XXXX"/>
  </r>
  <r>
    <s v="E166"/>
    <x v="42"/>
    <x v="42"/>
    <x v="0"/>
    <x v="1"/>
    <s v="Maruti"/>
    <s v="Nexa Ciaz Alpha BS-VI MT"/>
    <d v="2019-11-11T00:00:00"/>
    <n v="23.874402730375426"/>
    <n v="2098.56"/>
    <n v="87.9"/>
    <n v="377657"/>
    <s v="Company's Gathering"/>
    <s v="XXXX"/>
    <s v="XXXX"/>
    <s v="XXXX"/>
    <s v="XXXX"/>
  </r>
  <r>
    <s v="E133"/>
    <x v="43"/>
    <x v="43"/>
    <x v="0"/>
    <x v="1"/>
    <s v="Honda"/>
    <s v="Honda City V CVT BS VI"/>
    <d v="2019-12-06T00:00:00"/>
    <n v="50"/>
    <n v="3581"/>
    <n v="71.62"/>
    <n v="400987"/>
    <s v="Award Event held in Andheri"/>
    <s v="XXXX"/>
    <s v="XXXX"/>
    <s v="XXXX"/>
    <s v="XXXX"/>
  </r>
  <r>
    <s v="E120"/>
    <x v="44"/>
    <x v="44"/>
    <x v="0"/>
    <x v="1"/>
    <s v="Honda"/>
    <s v="Honda City IVTECH CVTZX"/>
    <d v="2019-12-27T00:00:00"/>
    <n v="38.94"/>
    <n v="2821.59"/>
    <n v="72.459999999999994"/>
    <n v="127768"/>
    <s v="Company's Gathering"/>
    <s v="XXXX"/>
    <s v="XXXX"/>
    <s v="XXXX"/>
    <s v="XXXX"/>
  </r>
  <r>
    <s v="E119"/>
    <x v="45"/>
    <x v="45"/>
    <x v="0"/>
    <x v="1"/>
    <s v="Hyundi"/>
    <s v="Hyundi Creta 1.6 SX"/>
    <d v="2019-12-10T00:00:00"/>
    <n v="59"/>
    <n v="4968.3900000000003"/>
    <n v="84.21"/>
    <n v="239900"/>
    <s v="Award Event held in Andheri"/>
    <s v="XXXX"/>
    <s v="XXXX"/>
    <s v="XXXX"/>
    <s v="XXXX"/>
  </r>
  <r>
    <s v="E126"/>
    <x v="4"/>
    <x v="4"/>
    <x v="0"/>
    <x v="1"/>
    <s v="Honda"/>
    <s v="Honda City ZX MT "/>
    <d v="2019-12-01T00:00:00"/>
    <n v="68.010000000000005"/>
    <n v="5531.25"/>
    <n v="81.33"/>
    <n v="127789"/>
    <s v="Award Event"/>
    <d v="2019-12-01T00:00:00"/>
    <n v="72061"/>
    <s v="J6475859"/>
    <s v="front bumper, rear left door, rear left fender"/>
  </r>
  <r>
    <s v="E132"/>
    <x v="5"/>
    <x v="5"/>
    <x v="0"/>
    <x v="1"/>
    <s v="Hyundai"/>
    <s v="Hyundai Creta 1.6 SX + CRDI"/>
    <d v="2019-12-26T00:00:00"/>
    <n v="43"/>
    <n v="3115.78"/>
    <n v="72.459999999999994"/>
    <n v="235567"/>
    <s v="Company's Gathering"/>
    <d v="2019-12-28T00:00:00"/>
    <n v="167265"/>
    <s v="P7585950"/>
    <s v="Complete LHS of car was damaged at Worli office garden fence"/>
  </r>
  <r>
    <s v="E128"/>
    <x v="6"/>
    <x v="6"/>
    <x v="0"/>
    <x v="1"/>
    <s v="Maruti"/>
    <s v="Maruti XL6 Smarty Hybrid Zeta AT"/>
    <d v="2019-12-22T00:00:00"/>
    <n v="27.54"/>
    <n v="2224.6"/>
    <n v="80.78"/>
    <n v="548890"/>
    <s v="Award Event"/>
    <d v="2019-12-04T00:00:00"/>
    <n v="25604"/>
    <s v="X5464749"/>
    <s v="Accidental repairs"/>
  </r>
  <r>
    <s v="E121"/>
    <x v="46"/>
    <x v="46"/>
    <x v="0"/>
    <x v="1"/>
    <s v="Hyundai"/>
    <s v="Hyundai Creta 1.6"/>
    <d v="2019-12-10T00:00:00"/>
    <n v="27.2"/>
    <n v="2145.62"/>
    <n v="78.89"/>
    <n v="439976"/>
    <s v="Company's Gathering"/>
    <s v="XXXX"/>
    <s v="XXXX"/>
    <s v="XXXX"/>
    <s v="XXXX"/>
  </r>
  <r>
    <s v="E167"/>
    <x v="29"/>
    <x v="29"/>
    <x v="0"/>
    <x v="1"/>
    <s v="Hyundai"/>
    <s v="Venue 1.2 S VTVT MT"/>
    <d v="2020-01-13T00:00:00"/>
    <n v="52.97"/>
    <n v="3841.38"/>
    <n v="72.52"/>
    <n v="537789"/>
    <s v="Event in Banglore"/>
    <d v="2020-01-22T00:00:00"/>
    <n v="7033"/>
    <s v="H5727272"/>
    <s v="Accidental repairs"/>
  </r>
  <r>
    <s v="E176"/>
    <x v="30"/>
    <x v="30"/>
    <x v="1"/>
    <x v="1"/>
    <s v="Maruti"/>
    <s v="Maruti Ciaz "/>
    <d v="2020-01-15T00:00:00"/>
    <n v="49"/>
    <n v="3994.97"/>
    <n v="81.53"/>
    <n v="445567"/>
    <s v="Event in Banglore"/>
    <d v="2020-01-24T00:00:00"/>
    <n v="7033"/>
    <s v="J3939009"/>
    <s v="Accidental repairs"/>
  </r>
  <r>
    <s v="E177"/>
    <x v="31"/>
    <x v="31"/>
    <x v="1"/>
    <x v="1"/>
    <s v="Hyundai "/>
    <s v="Grand Nios Sportz AMT "/>
    <d v="2020-01-23T00:00:00"/>
    <n v="56.7"/>
    <n v="4628.42"/>
    <n v="81.63"/>
    <n v="340006"/>
    <s v="Event in Banglore"/>
    <s v="XXXX"/>
    <s v="XXXX"/>
    <s v="XXXX"/>
    <s v="XXXX"/>
  </r>
  <r>
    <s v="E178"/>
    <x v="32"/>
    <x v="32"/>
    <x v="1"/>
    <x v="1"/>
    <s v="Renault"/>
    <s v="Triber RXT MT "/>
    <d v="2020-01-10T00:00:00"/>
    <n v="74"/>
    <n v="6026.56"/>
    <n v="81.44"/>
    <n v="212100"/>
    <s v="Event in Banglore"/>
    <s v="XXXX"/>
    <s v="XXXX"/>
    <s v="XXXX"/>
    <s v="XXXX"/>
  </r>
  <r>
    <s v="E169"/>
    <x v="47"/>
    <x v="47"/>
    <x v="0"/>
    <x v="1"/>
    <s v="Hyundai"/>
    <s v="Hyundai Garnd i10 NIOS Sportz 1.2 AMT"/>
    <d v="2020-01-06T00:00:00"/>
    <n v="57.77"/>
    <n v="4179.08"/>
    <n v="72.34"/>
    <n v="316509"/>
    <s v="Event in Banglore"/>
    <d v="2020-01-05T00:00:00"/>
    <n v="50391"/>
    <s v="M6575789"/>
    <s v="Accidental repairs"/>
  </r>
  <r>
    <s v="E171"/>
    <x v="48"/>
    <x v="48"/>
    <x v="1"/>
    <x v="1"/>
    <s v="Hyundai"/>
    <s v="Hyundai Elite i20"/>
    <d v="2020-01-21T00:00:00"/>
    <n v="44.83"/>
    <n v="3456.09"/>
    <n v="77.09"/>
    <n v="554908"/>
    <s v="Event in Banglore"/>
    <s v="XXXX"/>
    <s v="XXXX"/>
    <s v="XXXX"/>
    <s v="XXXX"/>
  </r>
  <r>
    <s v="E174"/>
    <x v="49"/>
    <x v="49"/>
    <x v="1"/>
    <x v="1"/>
    <s v="Mahindra"/>
    <s v="Mhaindra KUV 100 K8"/>
    <d v="2020-01-02T00:00:00"/>
    <n v="47.43"/>
    <n v="3678.97"/>
    <n v="77.569999999999993"/>
    <n v="135907"/>
    <s v="Event in Banglore"/>
    <s v="XXXX"/>
    <s v="XXXX"/>
    <s v="XXXX"/>
    <s v="XXXX"/>
  </r>
  <r>
    <s v="E109"/>
    <x v="50"/>
    <x v="50"/>
    <x v="0"/>
    <x v="0"/>
    <s v="Skoda "/>
    <s v="Kodiaq L &amp; K 2.0 TDI CR 4X4 AT "/>
    <d v="2020-02-25T00:00:00"/>
    <n v="48"/>
    <n v="3905.76"/>
    <n v="81.37"/>
    <n v="214309"/>
    <s v="Award Event held in Andheri"/>
    <s v="XXXX"/>
    <s v="XXXX"/>
    <s v="XXXX"/>
    <s v="XXXX"/>
  </r>
  <r>
    <s v="E103"/>
    <x v="0"/>
    <x v="0"/>
    <x v="0"/>
    <x v="0"/>
    <s v="Volkswagen"/>
    <s v="Volkswagen Tiguan Highline TDI DSG 2.0 AT"/>
    <d v="2020-02-26T00:00:00"/>
    <n v="81.790000000000006"/>
    <n v="6890.81"/>
    <n v="84.25"/>
    <n v="217596"/>
    <s v="Company's Gathering"/>
    <s v="XXXX"/>
    <s v="XXXX"/>
    <s v="XXXX"/>
    <s v="XXXX"/>
  </r>
  <r>
    <s v="E118"/>
    <x v="1"/>
    <x v="1"/>
    <x v="0"/>
    <x v="1"/>
    <s v="Toyota"/>
    <s v="Toyota Camry Hybrid"/>
    <d v="2020-02-09T00:00:00"/>
    <n v="51.58"/>
    <n v="3716.85"/>
    <n v="72.06"/>
    <n v="339087"/>
    <s v="Award Event held in Andheri"/>
    <d v="2020-02-07T00:00:00"/>
    <n v="21854"/>
    <s v="E6474790"/>
    <s v="LHS Moulding repairs"/>
  </r>
  <r>
    <s v="E107"/>
    <x v="7"/>
    <x v="7"/>
    <x v="0"/>
    <x v="1"/>
    <s v="BMW"/>
    <s v="BMW 320 D"/>
    <d v="2020-02-23T00:00:00"/>
    <n v="33"/>
    <n v="2368.08"/>
    <n v="71.760000000000005"/>
    <n v="454533"/>
    <s v="Award Event"/>
    <d v="2020-02-12T00:00:00"/>
    <n v="4978"/>
    <s v="T6575890"/>
    <s v="Front bumper, LHS both doors and running board"/>
  </r>
  <r>
    <s v="E113"/>
    <x v="2"/>
    <x v="2"/>
    <x v="0"/>
    <x v="1"/>
    <s v="Toyota"/>
    <s v="Toyota Fortuner"/>
    <d v="2020-02-29T00:00:00"/>
    <n v="63"/>
    <n v="5101.74"/>
    <n v="80.98"/>
    <n v="556400"/>
    <s v="Company's Gathering"/>
    <s v="XXXX"/>
    <s v="XXXX"/>
    <s v="XXXX"/>
    <s v="XXXX"/>
  </r>
  <r>
    <s v="E101"/>
    <x v="8"/>
    <x v="8"/>
    <x v="0"/>
    <x v="0"/>
    <s v="Toyota"/>
    <s v="Toyota Innova Crysta"/>
    <d v="2020-02-04T00:00:00"/>
    <n v="26.85"/>
    <n v="2123.89"/>
    <n v="79.09"/>
    <n v="637889"/>
    <s v="Award Event"/>
    <d v="2020-02-03T00:00:00"/>
    <n v="23128"/>
    <s v="D9000588"/>
    <s v="Accidental repairs"/>
  </r>
  <r>
    <s v="E116"/>
    <x v="9"/>
    <x v="9"/>
    <x v="0"/>
    <x v="0"/>
    <s v="Toyota"/>
    <s v="Toyota Crysta 2.4 VX 8 STR MT "/>
    <d v="2020-02-15T00:00:00"/>
    <n v="15.65"/>
    <n v="1234.96"/>
    <n v="78.900000000000006"/>
    <n v="199780"/>
    <s v="Company's Gathering"/>
    <s v="XXXX"/>
    <s v="XXXX"/>
    <s v="XXXX"/>
    <s v="XXXX"/>
  </r>
  <r>
    <s v="E111"/>
    <x v="13"/>
    <x v="13"/>
    <x v="0"/>
    <x v="1"/>
    <s v="Hyundai"/>
    <s v="Hyundai Elantra  VTVT SX (0)AT"/>
    <d v="2020-03-29T00:00:00"/>
    <n v="53.44"/>
    <n v="3807.6"/>
    <n v="71.25"/>
    <n v="149906"/>
    <s v="Award Event held in Andheri"/>
    <s v="XXXX"/>
    <s v="XXXX"/>
    <s v="XXXX"/>
    <s v="XXXX"/>
  </r>
  <r>
    <s v="E114"/>
    <x v="51"/>
    <x v="51"/>
    <x v="0"/>
    <x v="1"/>
    <s v="Hyundai"/>
    <s v="Hyundai Elantra VTVT"/>
    <d v="2020-03-03T00:00:00"/>
    <n v="52"/>
    <n v="3695.12"/>
    <n v="71.06"/>
    <n v="247689"/>
    <s v="Company's Gathering"/>
    <s v="XXXX"/>
    <s v="XXXX"/>
    <s v="XXXX"/>
    <s v="XXXX"/>
  </r>
  <r>
    <s v="E123"/>
    <x v="52"/>
    <x v="52"/>
    <x v="0"/>
    <x v="1"/>
    <s v="Mercedes-Benz "/>
    <s v="C 200 Prime 2"/>
    <d v="2020-03-15T00:00:00"/>
    <n v="60"/>
    <n v="4828"/>
    <n v="80.47"/>
    <n v="329905"/>
    <s v="Award Event held in Andheri"/>
    <d v="2020-03-21T00:00:00"/>
    <s v="5,68,879"/>
    <s v="E3456718"/>
    <s v="Bumper, and left door damaged"/>
  </r>
  <r>
    <s v="E122"/>
    <x v="16"/>
    <x v="16"/>
    <x v="0"/>
    <x v="1"/>
    <s v="Hyundai"/>
    <s v="Hyundai Creta 1.6 SX AT "/>
    <d v="2020-03-12T00:00:00"/>
    <n v="9.3000000000000007"/>
    <n v="747.16"/>
    <n v="80.34"/>
    <n v="240068"/>
    <s v="Award Event"/>
    <d v="2020-03-09T00:00:00"/>
    <n v="230234"/>
    <s v="T4533445"/>
    <s v="Accidental repairs"/>
  </r>
  <r>
    <s v="E135"/>
    <x v="17"/>
    <x v="17"/>
    <x v="0"/>
    <x v="0"/>
    <s v="Hyundai"/>
    <s v="Hyundai Creata SX+AT 1.6 "/>
    <d v="2020-03-13T00:00:00"/>
    <n v="48.97"/>
    <n v="3805.46"/>
    <n v="77.709999999999994"/>
    <n v="329905"/>
    <s v="Company's Gathering"/>
    <s v="XXXX"/>
    <s v="XXXX"/>
    <s v="XXXX"/>
    <s v="XXXX"/>
  </r>
  <r>
    <s v="E129"/>
    <x v="18"/>
    <x v="18"/>
    <x v="0"/>
    <x v="1"/>
    <s v="Honda"/>
    <s v="Honda BRV VCVT"/>
    <d v="2020-03-26T00:00:00"/>
    <n v="20.75"/>
    <n v="1678.9"/>
    <n v="80.89"/>
    <n v="657005"/>
    <s v="Award Event"/>
    <s v="XXXX"/>
    <s v="XXXX"/>
    <s v="XXXX"/>
    <s v="XXXX"/>
  </r>
  <r>
    <s v="E133"/>
    <x v="43"/>
    <x v="43"/>
    <x v="0"/>
    <x v="1"/>
    <s v="Honda"/>
    <s v="Honda City V CVT BS VI"/>
    <d v="2020-03-05T00:00:00"/>
    <n v="20.7"/>
    <n v="1678.34"/>
    <n v="81.09"/>
    <n v="349905"/>
    <s v="Company's Gathering"/>
    <s v="XXXX"/>
    <s v="XXXX"/>
    <s v="XXXX"/>
    <s v="XXXX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x v="0"/>
    <n v="2528.9899999999998"/>
    <s v="XXXX"/>
    <x v="0"/>
  </r>
  <r>
    <x v="0"/>
    <x v="1"/>
    <n v="3767.29"/>
    <s v="XXXX"/>
    <x v="1"/>
  </r>
  <r>
    <x v="0"/>
    <x v="0"/>
    <n v="4195.29"/>
    <s v="XXXX"/>
    <x v="2"/>
  </r>
  <r>
    <x v="0"/>
    <x v="2"/>
    <n v="3255.84"/>
    <n v="418806"/>
    <x v="3"/>
  </r>
  <r>
    <x v="0"/>
    <x v="3"/>
    <n v="3434.78"/>
    <n v="102114"/>
    <x v="4"/>
  </r>
  <r>
    <x v="0"/>
    <x v="4"/>
    <n v="1022.78"/>
    <n v="104122"/>
    <x v="5"/>
  </r>
  <r>
    <x v="0"/>
    <x v="5"/>
    <s v="2, 345.67"/>
    <s v="XXXX"/>
    <x v="6"/>
  </r>
  <r>
    <x v="1"/>
    <x v="6"/>
    <n v="2742.65"/>
    <s v="XXXX"/>
    <x v="7"/>
  </r>
  <r>
    <x v="1"/>
    <x v="7"/>
    <n v="2371.9499999999998"/>
    <s v="XXXX"/>
    <x v="2"/>
  </r>
  <r>
    <x v="1"/>
    <x v="8"/>
    <n v="3372.24"/>
    <s v="XXXX"/>
    <x v="8"/>
  </r>
  <r>
    <x v="1"/>
    <x v="9"/>
    <n v="3409.51"/>
    <n v="64370"/>
    <x v="9"/>
  </r>
  <r>
    <x v="1"/>
    <x v="10"/>
    <n v="3574.57"/>
    <n v="41696"/>
    <x v="10"/>
  </r>
  <r>
    <x v="1"/>
    <x v="11"/>
    <n v="1345.9"/>
    <n v="131712"/>
    <x v="11"/>
  </r>
  <r>
    <x v="1"/>
    <x v="12"/>
    <n v="1667.89"/>
    <s v="XXXX"/>
    <x v="12"/>
  </r>
  <r>
    <x v="2"/>
    <x v="13"/>
    <n v="4073.65"/>
    <n v="44061"/>
    <x v="13"/>
  </r>
  <r>
    <x v="2"/>
    <x v="14"/>
    <n v="5347.33"/>
    <n v="477075"/>
    <x v="14"/>
  </r>
  <r>
    <x v="2"/>
    <x v="14"/>
    <n v="3286.36"/>
    <n v="85138"/>
    <x v="15"/>
  </r>
  <r>
    <x v="2"/>
    <x v="15"/>
    <n v="2582.1"/>
    <s v="XXXX"/>
    <x v="16"/>
  </r>
  <r>
    <x v="2"/>
    <x v="16"/>
    <n v="4908.96"/>
    <s v="XXXX"/>
    <x v="17"/>
  </r>
  <r>
    <x v="2"/>
    <x v="17"/>
    <n v="2345.1"/>
    <s v="XXXX"/>
    <x v="18"/>
  </r>
  <r>
    <x v="2"/>
    <x v="18"/>
    <n v="1111.1099999999999"/>
    <s v="XXXX"/>
    <x v="19"/>
  </r>
  <r>
    <x v="3"/>
    <x v="19"/>
    <n v="4000"/>
    <s v="XXXX"/>
    <x v="20"/>
  </r>
  <r>
    <x v="3"/>
    <x v="20"/>
    <n v="1983.46"/>
    <s v="XXXX"/>
    <x v="21"/>
  </r>
  <r>
    <x v="3"/>
    <x v="21"/>
    <n v="4411.88"/>
    <s v="XXXX"/>
    <x v="22"/>
  </r>
  <r>
    <x v="3"/>
    <x v="22"/>
    <n v="2754.8"/>
    <s v="XXXX"/>
    <x v="23"/>
  </r>
  <r>
    <x v="3"/>
    <x v="23"/>
    <n v="4086.16"/>
    <s v="XXXX"/>
    <x v="24"/>
  </r>
  <r>
    <x v="3"/>
    <x v="24"/>
    <n v="2986.46"/>
    <n v="85138"/>
    <x v="25"/>
  </r>
  <r>
    <x v="3"/>
    <x v="25"/>
    <n v="2898.35"/>
    <n v="487451"/>
    <x v="26"/>
  </r>
  <r>
    <x v="4"/>
    <x v="26"/>
    <n v="4624.43"/>
    <s v="XXXX"/>
    <x v="19"/>
  </r>
  <r>
    <x v="4"/>
    <x v="27"/>
    <n v="5520.94"/>
    <n v="75343"/>
    <x v="27"/>
  </r>
  <r>
    <x v="4"/>
    <x v="28"/>
    <n v="3282.84"/>
    <n v="57560"/>
    <x v="28"/>
  </r>
  <r>
    <x v="4"/>
    <x v="27"/>
    <n v="3769.26"/>
    <n v="114822"/>
    <x v="29"/>
  </r>
  <r>
    <x v="4"/>
    <x v="29"/>
    <n v="4302.72"/>
    <s v="XXXX"/>
    <x v="30"/>
  </r>
  <r>
    <x v="4"/>
    <x v="30"/>
    <n v="3564.48"/>
    <s v="XXXX"/>
    <x v="31"/>
  </r>
  <r>
    <x v="4"/>
    <x v="31"/>
    <n v="2112.89"/>
    <s v="XXXX"/>
    <x v="32"/>
  </r>
  <r>
    <x v="5"/>
    <x v="32"/>
    <n v="4103.84"/>
    <n v="9933"/>
    <x v="33"/>
  </r>
  <r>
    <x v="5"/>
    <x v="33"/>
    <n v="5338.45"/>
    <n v="24247"/>
    <x v="34"/>
  </r>
  <r>
    <x v="5"/>
    <x v="34"/>
    <n v="2330.23"/>
    <s v="XXXX"/>
    <x v="35"/>
  </r>
  <r>
    <x v="5"/>
    <x v="35"/>
    <n v="3896.51"/>
    <s v="XXXX"/>
    <x v="36"/>
  </r>
  <r>
    <x v="5"/>
    <x v="36"/>
    <n v="2588.89"/>
    <s v="XXXX"/>
    <x v="37"/>
  </r>
  <r>
    <x v="5"/>
    <x v="37"/>
    <n v="1345.56"/>
    <n v="48028"/>
    <x v="38"/>
  </r>
  <r>
    <x v="5"/>
    <x v="38"/>
    <n v="1678.9"/>
    <s v="XXXX"/>
    <x v="39"/>
  </r>
  <r>
    <x v="6"/>
    <x v="39"/>
    <n v="810.3"/>
    <n v="18432"/>
    <x v="2"/>
  </r>
  <r>
    <x v="6"/>
    <x v="40"/>
    <n v="4056.23"/>
    <s v="XXXX"/>
    <x v="8"/>
  </r>
  <r>
    <x v="6"/>
    <x v="41"/>
    <n v="5952.96"/>
    <s v="XXXX"/>
    <x v="9"/>
  </r>
  <r>
    <x v="6"/>
    <x v="42"/>
    <n v="4403.8500000000004"/>
    <s v="XXXX"/>
    <x v="10"/>
  </r>
  <r>
    <x v="6"/>
    <x v="43"/>
    <n v="4243.71"/>
    <n v="94115"/>
    <x v="11"/>
  </r>
  <r>
    <x v="6"/>
    <x v="44"/>
    <n v="2345.9"/>
    <n v="68110"/>
    <x v="12"/>
  </r>
  <r>
    <x v="6"/>
    <x v="45"/>
    <n v="1897.68"/>
    <s v="XXXX"/>
    <x v="13"/>
  </r>
  <r>
    <x v="7"/>
    <x v="46"/>
    <n v="2505.0500000000002"/>
    <s v="XXXX"/>
    <x v="40"/>
  </r>
  <r>
    <x v="7"/>
    <x v="47"/>
    <n v="3701.88"/>
    <n v="45283"/>
    <x v="33"/>
  </r>
  <r>
    <x v="7"/>
    <x v="48"/>
    <n v="2167.4"/>
    <n v="68110"/>
    <x v="34"/>
  </r>
  <r>
    <x v="7"/>
    <x v="49"/>
    <n v="4139.1899999999996"/>
    <n v="638918"/>
    <x v="41"/>
  </r>
  <r>
    <x v="7"/>
    <x v="50"/>
    <n v="3928.59"/>
    <s v="XXXX"/>
    <x v="38"/>
  </r>
  <r>
    <x v="7"/>
    <x v="48"/>
    <n v="2900"/>
    <s v="XXXX"/>
    <x v="39"/>
  </r>
  <r>
    <x v="7"/>
    <x v="51"/>
    <n v="2098.56"/>
    <s v="XXXX"/>
    <x v="42"/>
  </r>
  <r>
    <x v="8"/>
    <x v="52"/>
    <n v="3581"/>
    <s v="XXXX"/>
    <x v="43"/>
  </r>
  <r>
    <x v="8"/>
    <x v="53"/>
    <n v="2821.59"/>
    <s v="XXXX"/>
    <x v="44"/>
  </r>
  <r>
    <x v="8"/>
    <x v="54"/>
    <n v="4968.3900000000003"/>
    <s v="XXXX"/>
    <x v="45"/>
  </r>
  <r>
    <x v="8"/>
    <x v="55"/>
    <n v="5531.25"/>
    <n v="72061"/>
    <x v="4"/>
  </r>
  <r>
    <x v="8"/>
    <x v="56"/>
    <n v="3115.78"/>
    <n v="167265"/>
    <x v="5"/>
  </r>
  <r>
    <x v="8"/>
    <x v="57"/>
    <n v="2224.6"/>
    <n v="25604"/>
    <x v="6"/>
  </r>
  <r>
    <x v="8"/>
    <x v="54"/>
    <n v="2145.62"/>
    <s v="XXXX"/>
    <x v="46"/>
  </r>
  <r>
    <x v="9"/>
    <x v="58"/>
    <n v="3841.38"/>
    <n v="7033"/>
    <x v="29"/>
  </r>
  <r>
    <x v="9"/>
    <x v="59"/>
    <n v="3994.97"/>
    <n v="7033"/>
    <x v="30"/>
  </r>
  <r>
    <x v="9"/>
    <x v="60"/>
    <n v="4628.42"/>
    <s v="XXXX"/>
    <x v="31"/>
  </r>
  <r>
    <x v="9"/>
    <x v="61"/>
    <n v="6026.56"/>
    <s v="XXXX"/>
    <x v="32"/>
  </r>
  <r>
    <x v="9"/>
    <x v="62"/>
    <n v="4179.08"/>
    <n v="50391"/>
    <x v="47"/>
  </r>
  <r>
    <x v="9"/>
    <x v="63"/>
    <n v="3456.09"/>
    <s v="XXXX"/>
    <x v="48"/>
  </r>
  <r>
    <x v="9"/>
    <x v="64"/>
    <n v="3678.97"/>
    <s v="XXXX"/>
    <x v="49"/>
  </r>
  <r>
    <x v="10"/>
    <x v="65"/>
    <n v="3905.76"/>
    <s v="XXXX"/>
    <x v="50"/>
  </r>
  <r>
    <x v="10"/>
    <x v="66"/>
    <n v="6890.81"/>
    <s v="XXXX"/>
    <x v="0"/>
  </r>
  <r>
    <x v="10"/>
    <x v="67"/>
    <n v="3716.85"/>
    <n v="21854"/>
    <x v="1"/>
  </r>
  <r>
    <x v="10"/>
    <x v="68"/>
    <n v="2368.08"/>
    <n v="4978"/>
    <x v="7"/>
  </r>
  <r>
    <x v="10"/>
    <x v="69"/>
    <n v="5101.74"/>
    <s v="XXXX"/>
    <x v="2"/>
  </r>
  <r>
    <x v="10"/>
    <x v="70"/>
    <n v="2123.89"/>
    <n v="23128"/>
    <x v="8"/>
  </r>
  <r>
    <x v="10"/>
    <x v="71"/>
    <n v="1234.96"/>
    <s v="XXXX"/>
    <x v="9"/>
  </r>
  <r>
    <x v="11"/>
    <x v="72"/>
    <n v="3807.6"/>
    <s v="XXXX"/>
    <x v="13"/>
  </r>
  <r>
    <x v="11"/>
    <x v="73"/>
    <n v="3695.12"/>
    <s v="XXXX"/>
    <x v="51"/>
  </r>
  <r>
    <x v="11"/>
    <x v="74"/>
    <n v="4828"/>
    <s v="5,68,879"/>
    <x v="52"/>
  </r>
  <r>
    <x v="11"/>
    <x v="75"/>
    <n v="747.16"/>
    <n v="230234"/>
    <x v="16"/>
  </r>
  <r>
    <x v="11"/>
    <x v="76"/>
    <n v="3805.46"/>
    <s v="XXXX"/>
    <x v="17"/>
  </r>
  <r>
    <x v="11"/>
    <x v="77"/>
    <n v="1678.9"/>
    <s v="XXXX"/>
    <x v="18"/>
  </r>
  <r>
    <x v="11"/>
    <x v="78"/>
    <n v="1678.34"/>
    <s v="XXXX"/>
    <x v="43"/>
  </r>
  <r>
    <x v="12"/>
    <x v="79"/>
    <m/>
    <m/>
    <x v="53"/>
  </r>
  <r>
    <x v="12"/>
    <x v="79"/>
    <m/>
    <m/>
    <x v="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A2F67D-6DB3-4765-8336-C05AE7FC690C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B4:E59" firstHeaderRow="1" firstDataRow="2" firstDataCol="1" rowPageCount="1" colPageCount="1"/>
  <pivotFields count="17">
    <pivotField showAll="0"/>
    <pivotField axis="axisRow" dataField="1" showAll="0">
      <items count="54">
        <item x="6"/>
        <item x="23"/>
        <item x="5"/>
        <item x="34"/>
        <item x="50"/>
        <item x="21"/>
        <item x="10"/>
        <item x="17"/>
        <item x="42"/>
        <item x="26"/>
        <item x="41"/>
        <item x="37"/>
        <item x="4"/>
        <item x="19"/>
        <item x="36"/>
        <item x="38"/>
        <item x="24"/>
        <item x="7"/>
        <item x="1"/>
        <item x="27"/>
        <item x="15"/>
        <item x="28"/>
        <item x="30"/>
        <item x="48"/>
        <item x="14"/>
        <item x="52"/>
        <item x="9"/>
        <item x="39"/>
        <item x="3"/>
        <item x="31"/>
        <item x="45"/>
        <item x="44"/>
        <item x="35"/>
        <item x="12"/>
        <item x="13"/>
        <item x="8"/>
        <item x="32"/>
        <item x="18"/>
        <item x="43"/>
        <item x="49"/>
        <item x="47"/>
        <item x="11"/>
        <item x="22"/>
        <item x="25"/>
        <item x="46"/>
        <item x="40"/>
        <item x="16"/>
        <item x="2"/>
        <item x="29"/>
        <item x="51"/>
        <item x="33"/>
        <item x="0"/>
        <item x="20"/>
        <item t="default"/>
      </items>
    </pivotField>
    <pivotField axis="axisPage" multipleItemSelectionAllowed="1" showAll="0">
      <items count="54">
        <item x="5"/>
        <item x="24"/>
        <item x="38"/>
        <item x="46"/>
        <item x="50"/>
        <item x="18"/>
        <item x="10"/>
        <item x="33"/>
        <item x="8"/>
        <item x="21"/>
        <item x="17"/>
        <item x="23"/>
        <item x="45"/>
        <item x="40"/>
        <item x="35"/>
        <item x="48"/>
        <item x="22"/>
        <item x="25"/>
        <item x="51"/>
        <item x="28"/>
        <item x="12"/>
        <item x="30"/>
        <item x="7"/>
        <item x="13"/>
        <item x="15"/>
        <item x="34"/>
        <item x="37"/>
        <item x="19"/>
        <item x="2"/>
        <item x="42"/>
        <item x="44"/>
        <item x="11"/>
        <item x="4"/>
        <item x="41"/>
        <item x="32"/>
        <item x="39"/>
        <item x="31"/>
        <item x="26"/>
        <item x="52"/>
        <item x="29"/>
        <item x="36"/>
        <item x="0"/>
        <item x="16"/>
        <item x="43"/>
        <item x="6"/>
        <item x="14"/>
        <item x="3"/>
        <item x="1"/>
        <item x="20"/>
        <item x="9"/>
        <item x="49"/>
        <item x="27"/>
        <item x="47"/>
        <item t="default"/>
      </items>
    </pivotField>
    <pivotField axis="axisCol"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2" hier="-1"/>
  </pageFields>
  <dataFields count="1">
    <dataField name="Count of EMPLOYEE NAME" fld="1" subtotal="count" baseField="0" baseItem="0"/>
  </dataFields>
  <chartFormats count="2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CD8A75-C55E-49C9-A07B-628F411C7ABC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D7" firstHeaderRow="1" firstDataRow="2" firstDataCol="1"/>
  <pivotFields count="17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Col" dataField="1" showAll="0">
      <items count="3">
        <item x="0"/>
        <item x="1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FUEL VARIANT" fld="4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D55697-2F4A-49E8-996D-5848FC9B3917}" name="PivotTable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8:K25" firstHeaderRow="1" firstDataRow="1" firstDataCol="0"/>
  <pivotFields count="7">
    <pivotField showAll="0">
      <items count="14">
        <item x="0"/>
        <item x="4"/>
        <item x="8"/>
        <item x="10"/>
        <item x="9"/>
        <item x="3"/>
        <item x="2"/>
        <item x="11"/>
        <item x="1"/>
        <item x="7"/>
        <item x="6"/>
        <item x="5"/>
        <item x="1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55">
        <item x="6"/>
        <item x="23"/>
        <item x="5"/>
        <item x="34"/>
        <item x="50"/>
        <item x="21"/>
        <item x="10"/>
        <item x="17"/>
        <item x="42"/>
        <item x="26"/>
        <item x="41"/>
        <item x="37"/>
        <item x="4"/>
        <item x="19"/>
        <item x="36"/>
        <item x="38"/>
        <item x="24"/>
        <item x="7"/>
        <item x="1"/>
        <item x="27"/>
        <item x="15"/>
        <item x="28"/>
        <item x="30"/>
        <item x="48"/>
        <item x="14"/>
        <item x="52"/>
        <item x="9"/>
        <item x="39"/>
        <item x="3"/>
        <item x="31"/>
        <item x="45"/>
        <item x="44"/>
        <item x="35"/>
        <item x="12"/>
        <item x="13"/>
        <item x="8"/>
        <item x="32"/>
        <item x="18"/>
        <item x="43"/>
        <item x="49"/>
        <item x="47"/>
        <item x="11"/>
        <item x="22"/>
        <item x="25"/>
        <item x="46"/>
        <item x="40"/>
        <item x="16"/>
        <item x="2"/>
        <item x="29"/>
        <item x="51"/>
        <item x="33"/>
        <item x="0"/>
        <item x="20"/>
        <item x="5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6"/>
  <sheetViews>
    <sheetView tabSelected="1" zoomScale="85" zoomScaleNormal="85" workbookViewId="0">
      <pane xSplit="5" topLeftCell="F1" activePane="topRight" state="frozen"/>
      <selection pane="topRight" activeCell="F4" sqref="F4"/>
    </sheetView>
  </sheetViews>
  <sheetFormatPr defaultRowHeight="14.4" x14ac:dyDescent="0.3"/>
  <cols>
    <col min="1" max="1" width="11.77734375" style="11" customWidth="1"/>
    <col min="2" max="2" width="8.88671875" style="11"/>
    <col min="3" max="3" width="15.5546875" style="11" bestFit="1" customWidth="1"/>
    <col min="4" max="4" width="17.77734375" style="11" customWidth="1"/>
    <col min="5" max="5" width="14.6640625" style="30" customWidth="1"/>
    <col min="6" max="6" width="16.6640625" style="30" customWidth="1"/>
    <col min="7" max="7" width="15.77734375" style="11" bestFit="1" customWidth="1"/>
    <col min="8" max="8" width="41.88671875" style="11" bestFit="1" customWidth="1"/>
    <col min="9" max="9" width="17.88671875" style="11" customWidth="1"/>
    <col min="10" max="10" width="13.6640625" style="11" bestFit="1" customWidth="1"/>
    <col min="11" max="11" width="11.44140625" style="11" customWidth="1"/>
    <col min="12" max="12" width="15" style="11" bestFit="1" customWidth="1"/>
    <col min="13" max="13" width="8.88671875" style="30"/>
    <col min="14" max="14" width="28" style="11" bestFit="1" customWidth="1"/>
    <col min="15" max="15" width="20.109375" style="11" customWidth="1"/>
    <col min="16" max="16" width="22" style="14" customWidth="1"/>
    <col min="17" max="17" width="15.21875" style="30" bestFit="1" customWidth="1"/>
    <col min="18" max="18" width="26.88671875" style="11" customWidth="1"/>
    <col min="19" max="16384" width="8.88671875" style="11"/>
  </cols>
  <sheetData>
    <row r="1" spans="1:18" ht="15" thickBot="1" x14ac:dyDescent="0.35">
      <c r="B1" s="16" t="s">
        <v>4</v>
      </c>
      <c r="C1" s="16" t="s">
        <v>5</v>
      </c>
      <c r="D1" s="16" t="s">
        <v>6</v>
      </c>
      <c r="E1" s="31" t="s">
        <v>2</v>
      </c>
      <c r="F1" s="31" t="s">
        <v>7</v>
      </c>
      <c r="G1" s="16" t="s">
        <v>0</v>
      </c>
      <c r="H1" s="16" t="s">
        <v>1</v>
      </c>
      <c r="I1" s="16" t="s">
        <v>3</v>
      </c>
      <c r="J1" s="16" t="s">
        <v>307</v>
      </c>
      <c r="K1" s="16" t="s">
        <v>240</v>
      </c>
      <c r="L1" s="16" t="s">
        <v>241</v>
      </c>
      <c r="M1" s="31" t="s">
        <v>8</v>
      </c>
      <c r="N1" s="16" t="s">
        <v>9</v>
      </c>
      <c r="O1" s="16" t="s">
        <v>3</v>
      </c>
      <c r="P1" s="16" t="s">
        <v>242</v>
      </c>
      <c r="Q1" s="31" t="s">
        <v>10</v>
      </c>
      <c r="R1" s="16" t="s">
        <v>9</v>
      </c>
    </row>
    <row r="2" spans="1:18" ht="15.6" x14ac:dyDescent="0.3">
      <c r="A2" s="87" t="s">
        <v>239</v>
      </c>
      <c r="B2" s="17" t="s">
        <v>11</v>
      </c>
      <c r="C2" s="17" t="s">
        <v>12</v>
      </c>
      <c r="D2" s="18" t="s">
        <v>13</v>
      </c>
      <c r="E2" s="32" t="s">
        <v>14</v>
      </c>
      <c r="F2" s="32" t="s">
        <v>15</v>
      </c>
      <c r="G2" s="20" t="s">
        <v>176</v>
      </c>
      <c r="H2" s="20" t="s">
        <v>177</v>
      </c>
      <c r="I2" s="21">
        <v>43569</v>
      </c>
      <c r="J2" s="17">
        <v>37.4</v>
      </c>
      <c r="K2" s="22">
        <v>2528.9899999999998</v>
      </c>
      <c r="L2" s="17">
        <v>67.62</v>
      </c>
      <c r="M2" s="32">
        <v>223331</v>
      </c>
      <c r="N2" s="17" t="s">
        <v>281</v>
      </c>
      <c r="O2" s="18" t="s">
        <v>175</v>
      </c>
      <c r="P2" s="18" t="s">
        <v>175</v>
      </c>
      <c r="Q2" s="32" t="s">
        <v>175</v>
      </c>
      <c r="R2" s="32" t="s">
        <v>175</v>
      </c>
    </row>
    <row r="3" spans="1:18" ht="15.6" x14ac:dyDescent="0.3">
      <c r="A3" s="88"/>
      <c r="B3" s="9" t="s">
        <v>16</v>
      </c>
      <c r="C3" s="9" t="s">
        <v>17</v>
      </c>
      <c r="D3" s="7" t="s">
        <v>18</v>
      </c>
      <c r="E3" s="33" t="s">
        <v>14</v>
      </c>
      <c r="F3" s="33" t="s">
        <v>19</v>
      </c>
      <c r="G3" s="2" t="s">
        <v>178</v>
      </c>
      <c r="H3" s="2" t="s">
        <v>179</v>
      </c>
      <c r="I3" s="15">
        <v>43559</v>
      </c>
      <c r="J3" s="9">
        <v>48.51</v>
      </c>
      <c r="K3" s="10">
        <v>3767.29</v>
      </c>
      <c r="L3" s="9">
        <v>77.66</v>
      </c>
      <c r="M3" s="33">
        <v>121213</v>
      </c>
      <c r="N3" s="9" t="s">
        <v>278</v>
      </c>
      <c r="O3" s="8" t="s">
        <v>175</v>
      </c>
      <c r="P3" s="8" t="s">
        <v>175</v>
      </c>
      <c r="Q3" s="33" t="s">
        <v>175</v>
      </c>
      <c r="R3" s="33" t="s">
        <v>175</v>
      </c>
    </row>
    <row r="4" spans="1:18" ht="28.8" x14ac:dyDescent="0.3">
      <c r="A4" s="88"/>
      <c r="B4" s="9" t="s">
        <v>20</v>
      </c>
      <c r="C4" s="9" t="s">
        <v>21</v>
      </c>
      <c r="D4" s="7" t="s">
        <v>22</v>
      </c>
      <c r="E4" s="33" t="s">
        <v>14</v>
      </c>
      <c r="F4" s="33" t="s">
        <v>19</v>
      </c>
      <c r="G4" s="2" t="s">
        <v>178</v>
      </c>
      <c r="H4" s="2" t="s">
        <v>180</v>
      </c>
      <c r="I4" s="15">
        <v>43569</v>
      </c>
      <c r="J4" s="9">
        <v>61.85</v>
      </c>
      <c r="K4" s="10">
        <v>4195.29</v>
      </c>
      <c r="L4" s="9">
        <v>67.83</v>
      </c>
      <c r="M4" s="33">
        <v>212133</v>
      </c>
      <c r="N4" s="9" t="s">
        <v>280</v>
      </c>
      <c r="O4" s="8" t="s">
        <v>175</v>
      </c>
      <c r="P4" s="8" t="s">
        <v>175</v>
      </c>
      <c r="Q4" s="33" t="s">
        <v>175</v>
      </c>
      <c r="R4" s="33" t="s">
        <v>175</v>
      </c>
    </row>
    <row r="5" spans="1:18" ht="34.200000000000003" customHeight="1" thickBot="1" x14ac:dyDescent="0.35">
      <c r="A5" s="88"/>
      <c r="B5" s="9" t="s">
        <v>23</v>
      </c>
      <c r="C5" s="9" t="s">
        <v>24</v>
      </c>
      <c r="D5" s="8" t="s">
        <v>25</v>
      </c>
      <c r="E5" s="33" t="s">
        <v>14</v>
      </c>
      <c r="F5" s="33" t="s">
        <v>19</v>
      </c>
      <c r="G5" s="1" t="s">
        <v>181</v>
      </c>
      <c r="H5" s="3" t="s">
        <v>182</v>
      </c>
      <c r="I5" s="15">
        <v>43585</v>
      </c>
      <c r="J5" s="9">
        <v>48</v>
      </c>
      <c r="K5" s="10">
        <v>3255.84</v>
      </c>
      <c r="L5" s="9">
        <v>67.83</v>
      </c>
      <c r="M5" s="33">
        <v>343221</v>
      </c>
      <c r="N5" s="9" t="s">
        <v>277</v>
      </c>
      <c r="O5" s="15">
        <v>43578</v>
      </c>
      <c r="P5" s="6">
        <v>418806</v>
      </c>
      <c r="Q5" s="33" t="s">
        <v>243</v>
      </c>
      <c r="R5" s="36" t="s">
        <v>284</v>
      </c>
    </row>
    <row r="6" spans="1:18" ht="34.200000000000003" thickBot="1" x14ac:dyDescent="0.35">
      <c r="A6" s="88"/>
      <c r="B6" s="9" t="s">
        <v>26</v>
      </c>
      <c r="C6" s="9" t="s">
        <v>27</v>
      </c>
      <c r="D6" s="8" t="s">
        <v>28</v>
      </c>
      <c r="E6" s="33" t="s">
        <v>14</v>
      </c>
      <c r="F6" s="33" t="s">
        <v>19</v>
      </c>
      <c r="G6" s="1" t="s">
        <v>183</v>
      </c>
      <c r="H6" s="3" t="s">
        <v>184</v>
      </c>
      <c r="I6" s="15">
        <v>43558</v>
      </c>
      <c r="J6" s="9">
        <v>44.2</v>
      </c>
      <c r="K6" s="10">
        <v>3434.78</v>
      </c>
      <c r="L6" s="9">
        <v>77.709999999999994</v>
      </c>
      <c r="M6" s="33">
        <v>354532</v>
      </c>
      <c r="N6" s="9" t="s">
        <v>279</v>
      </c>
      <c r="O6" s="15">
        <v>43561</v>
      </c>
      <c r="P6" s="6">
        <v>102114</v>
      </c>
      <c r="Q6" s="35" t="s">
        <v>244</v>
      </c>
      <c r="R6" s="36" t="s">
        <v>285</v>
      </c>
    </row>
    <row r="7" spans="1:18" ht="29.4" thickBot="1" x14ac:dyDescent="0.35">
      <c r="A7" s="88"/>
      <c r="B7" s="9" t="s">
        <v>29</v>
      </c>
      <c r="C7" s="9" t="s">
        <v>30</v>
      </c>
      <c r="D7" s="8" t="s">
        <v>31</v>
      </c>
      <c r="E7" s="33" t="s">
        <v>14</v>
      </c>
      <c r="F7" s="33" t="s">
        <v>19</v>
      </c>
      <c r="G7" s="1" t="s">
        <v>185</v>
      </c>
      <c r="H7" s="1" t="s">
        <v>186</v>
      </c>
      <c r="I7" s="15">
        <v>43579</v>
      </c>
      <c r="J7" s="7">
        <v>13.71</v>
      </c>
      <c r="K7" s="5">
        <v>1022.78</v>
      </c>
      <c r="L7" s="7">
        <v>74.56</v>
      </c>
      <c r="M7" s="33">
        <v>243542</v>
      </c>
      <c r="N7" s="9" t="s">
        <v>278</v>
      </c>
      <c r="O7" s="15">
        <v>43575</v>
      </c>
      <c r="P7" s="6">
        <v>104122</v>
      </c>
      <c r="Q7" s="35" t="s">
        <v>245</v>
      </c>
      <c r="R7" s="36" t="s">
        <v>284</v>
      </c>
    </row>
    <row r="8" spans="1:18" ht="29.4" thickBot="1" x14ac:dyDescent="0.35">
      <c r="A8" s="89"/>
      <c r="B8" s="23" t="s">
        <v>32</v>
      </c>
      <c r="C8" s="23" t="s">
        <v>33</v>
      </c>
      <c r="D8" s="24" t="s">
        <v>34</v>
      </c>
      <c r="E8" s="34" t="s">
        <v>14</v>
      </c>
      <c r="F8" s="34" t="s">
        <v>19</v>
      </c>
      <c r="G8" s="26" t="s">
        <v>187</v>
      </c>
      <c r="H8" s="27" t="s">
        <v>188</v>
      </c>
      <c r="I8" s="28">
        <v>43565</v>
      </c>
      <c r="J8" s="25">
        <v>31.46</v>
      </c>
      <c r="K8" s="25" t="s">
        <v>174</v>
      </c>
      <c r="L8" s="25">
        <v>74.56</v>
      </c>
      <c r="M8" s="34">
        <v>323321</v>
      </c>
      <c r="N8" s="23" t="s">
        <v>280</v>
      </c>
      <c r="O8" s="24" t="s">
        <v>175</v>
      </c>
      <c r="P8" s="24" t="s">
        <v>175</v>
      </c>
      <c r="Q8" s="24" t="s">
        <v>175</v>
      </c>
      <c r="R8" s="24" t="s">
        <v>175</v>
      </c>
    </row>
    <row r="9" spans="1:18" ht="28.8" x14ac:dyDescent="0.3">
      <c r="A9" s="87">
        <v>43970</v>
      </c>
      <c r="B9" s="17" t="s">
        <v>35</v>
      </c>
      <c r="C9" s="17" t="s">
        <v>36</v>
      </c>
      <c r="D9" s="19" t="s">
        <v>37</v>
      </c>
      <c r="E9" s="32" t="s">
        <v>14</v>
      </c>
      <c r="F9" s="32" t="s">
        <v>19</v>
      </c>
      <c r="G9" s="29" t="s">
        <v>181</v>
      </c>
      <c r="H9" s="29" t="s">
        <v>189</v>
      </c>
      <c r="I9" s="21">
        <v>43601</v>
      </c>
      <c r="J9" s="17">
        <v>40.47</v>
      </c>
      <c r="K9" s="22">
        <v>2742.65</v>
      </c>
      <c r="L9" s="17">
        <v>67.77</v>
      </c>
      <c r="M9" s="32">
        <v>135432</v>
      </c>
      <c r="N9" s="19" t="s">
        <v>280</v>
      </c>
      <c r="O9" s="18" t="s">
        <v>175</v>
      </c>
      <c r="P9" s="18" t="s">
        <v>175</v>
      </c>
      <c r="Q9" s="32" t="s">
        <v>175</v>
      </c>
      <c r="R9" s="37" t="s">
        <v>175</v>
      </c>
    </row>
    <row r="10" spans="1:18" ht="28.8" x14ac:dyDescent="0.3">
      <c r="A10" s="88"/>
      <c r="B10" s="9" t="s">
        <v>20</v>
      </c>
      <c r="C10" s="9" t="s">
        <v>21</v>
      </c>
      <c r="D10" s="7" t="s">
        <v>22</v>
      </c>
      <c r="E10" s="33" t="s">
        <v>14</v>
      </c>
      <c r="F10" s="33" t="s">
        <v>19</v>
      </c>
      <c r="G10" s="2" t="s">
        <v>178</v>
      </c>
      <c r="H10" s="2" t="s">
        <v>180</v>
      </c>
      <c r="I10" s="15">
        <v>43607</v>
      </c>
      <c r="J10" s="9">
        <v>30.21</v>
      </c>
      <c r="K10" s="10">
        <v>2371.9499999999998</v>
      </c>
      <c r="L10" s="9">
        <v>78.510000000000005</v>
      </c>
      <c r="M10" s="33">
        <v>423144</v>
      </c>
      <c r="N10" s="7" t="s">
        <v>281</v>
      </c>
      <c r="O10" s="8" t="s">
        <v>175</v>
      </c>
      <c r="P10" s="8" t="s">
        <v>175</v>
      </c>
      <c r="Q10" s="33" t="s">
        <v>175</v>
      </c>
      <c r="R10" s="38" t="s">
        <v>175</v>
      </c>
    </row>
    <row r="11" spans="1:18" ht="15.6" x14ac:dyDescent="0.3">
      <c r="A11" s="88"/>
      <c r="B11" s="9" t="s">
        <v>38</v>
      </c>
      <c r="C11" s="9" t="s">
        <v>39</v>
      </c>
      <c r="D11" s="7" t="s">
        <v>40</v>
      </c>
      <c r="E11" s="33" t="s">
        <v>14</v>
      </c>
      <c r="F11" s="33" t="s">
        <v>15</v>
      </c>
      <c r="G11" s="2" t="s">
        <v>178</v>
      </c>
      <c r="H11" s="2" t="s">
        <v>190</v>
      </c>
      <c r="I11" s="15">
        <v>43600</v>
      </c>
      <c r="J11" s="9">
        <v>49.76</v>
      </c>
      <c r="K11" s="10">
        <v>3372.24</v>
      </c>
      <c r="L11" s="9">
        <v>67.77</v>
      </c>
      <c r="M11" s="33">
        <v>231311</v>
      </c>
      <c r="N11" s="9" t="s">
        <v>280</v>
      </c>
      <c r="O11" s="8" t="s">
        <v>175</v>
      </c>
      <c r="P11" s="8" t="s">
        <v>175</v>
      </c>
      <c r="Q11" s="33" t="s">
        <v>175</v>
      </c>
      <c r="R11" s="38" t="s">
        <v>175</v>
      </c>
    </row>
    <row r="12" spans="1:18" ht="17.399999999999999" thickBot="1" x14ac:dyDescent="0.35">
      <c r="A12" s="88"/>
      <c r="B12" s="9" t="s">
        <v>41</v>
      </c>
      <c r="C12" s="9" t="s">
        <v>42</v>
      </c>
      <c r="D12" s="8" t="s">
        <v>43</v>
      </c>
      <c r="E12" s="33" t="s">
        <v>14</v>
      </c>
      <c r="F12" s="33" t="s">
        <v>15</v>
      </c>
      <c r="G12" s="1" t="s">
        <v>178</v>
      </c>
      <c r="H12" s="1" t="s">
        <v>191</v>
      </c>
      <c r="I12" s="15">
        <v>43604</v>
      </c>
      <c r="J12" s="9">
        <v>50.31</v>
      </c>
      <c r="K12" s="10">
        <v>3409.51</v>
      </c>
      <c r="L12" s="9">
        <v>67.77</v>
      </c>
      <c r="M12" s="33">
        <v>425453</v>
      </c>
      <c r="N12" s="9" t="s">
        <v>279</v>
      </c>
      <c r="O12" s="15">
        <v>43602</v>
      </c>
      <c r="P12" s="6">
        <v>64370</v>
      </c>
      <c r="Q12" s="33" t="s">
        <v>246</v>
      </c>
      <c r="R12" s="36" t="s">
        <v>286</v>
      </c>
    </row>
    <row r="13" spans="1:18" ht="34.200000000000003" thickBot="1" x14ac:dyDescent="0.35">
      <c r="A13" s="88"/>
      <c r="B13" s="9" t="s">
        <v>44</v>
      </c>
      <c r="C13" s="9" t="s">
        <v>45</v>
      </c>
      <c r="D13" s="7" t="s">
        <v>46</v>
      </c>
      <c r="E13" s="33" t="s">
        <v>14</v>
      </c>
      <c r="F13" s="33" t="s">
        <v>19</v>
      </c>
      <c r="G13" s="2" t="s">
        <v>178</v>
      </c>
      <c r="H13" s="2" t="s">
        <v>192</v>
      </c>
      <c r="I13" s="15">
        <v>43614</v>
      </c>
      <c r="J13" s="9">
        <v>46.07</v>
      </c>
      <c r="K13" s="10">
        <v>3574.57</v>
      </c>
      <c r="L13" s="9">
        <v>77.59</v>
      </c>
      <c r="M13" s="33">
        <v>334232</v>
      </c>
      <c r="N13" s="7" t="s">
        <v>281</v>
      </c>
      <c r="O13" s="15">
        <v>43610</v>
      </c>
      <c r="P13" s="6">
        <v>41696</v>
      </c>
      <c r="Q13" s="33" t="s">
        <v>247</v>
      </c>
      <c r="R13" s="36" t="s">
        <v>287</v>
      </c>
    </row>
    <row r="14" spans="1:18" ht="29.4" thickBot="1" x14ac:dyDescent="0.35">
      <c r="A14" s="88"/>
      <c r="B14" s="9" t="s">
        <v>47</v>
      </c>
      <c r="C14" s="9" t="s">
        <v>48</v>
      </c>
      <c r="D14" s="7" t="s">
        <v>49</v>
      </c>
      <c r="E14" s="33" t="s">
        <v>14</v>
      </c>
      <c r="F14" s="33" t="s">
        <v>15</v>
      </c>
      <c r="G14" s="1" t="s">
        <v>178</v>
      </c>
      <c r="H14" s="3" t="s">
        <v>193</v>
      </c>
      <c r="I14" s="15">
        <v>43602</v>
      </c>
      <c r="J14" s="7">
        <v>19.86</v>
      </c>
      <c r="K14" s="6">
        <v>1345.9</v>
      </c>
      <c r="L14" s="9">
        <v>67.77</v>
      </c>
      <c r="M14" s="33">
        <v>313121</v>
      </c>
      <c r="N14" s="9" t="s">
        <v>279</v>
      </c>
      <c r="O14" s="15">
        <v>43597</v>
      </c>
      <c r="P14" s="6">
        <v>131712</v>
      </c>
      <c r="Q14" s="33" t="s">
        <v>248</v>
      </c>
      <c r="R14" s="36" t="s">
        <v>288</v>
      </c>
    </row>
    <row r="15" spans="1:18" ht="29.4" thickBot="1" x14ac:dyDescent="0.35">
      <c r="A15" s="89"/>
      <c r="B15" s="23" t="s">
        <v>50</v>
      </c>
      <c r="C15" s="23" t="s">
        <v>51</v>
      </c>
      <c r="D15" s="25" t="s">
        <v>52</v>
      </c>
      <c r="E15" s="33" t="s">
        <v>14</v>
      </c>
      <c r="F15" s="33" t="s">
        <v>19</v>
      </c>
      <c r="G15" s="39" t="s">
        <v>194</v>
      </c>
      <c r="H15" s="39" t="s">
        <v>195</v>
      </c>
      <c r="I15" s="28">
        <v>43615</v>
      </c>
      <c r="J15" s="25">
        <v>21.48</v>
      </c>
      <c r="K15" s="40">
        <v>1667.89</v>
      </c>
      <c r="L15" s="25">
        <v>77.64</v>
      </c>
      <c r="M15" s="34">
        <v>213231</v>
      </c>
      <c r="N15" s="25" t="s">
        <v>281</v>
      </c>
      <c r="O15" s="24" t="s">
        <v>175</v>
      </c>
      <c r="P15" s="24" t="s">
        <v>175</v>
      </c>
      <c r="Q15" s="34" t="s">
        <v>175</v>
      </c>
      <c r="R15" s="41" t="s">
        <v>175</v>
      </c>
    </row>
    <row r="16" spans="1:18" ht="34.200000000000003" thickBot="1" x14ac:dyDescent="0.35">
      <c r="A16" s="87">
        <v>44001</v>
      </c>
      <c r="B16" s="17" t="s">
        <v>53</v>
      </c>
      <c r="C16" s="17" t="s">
        <v>54</v>
      </c>
      <c r="D16" s="18" t="s">
        <v>55</v>
      </c>
      <c r="E16" s="32" t="s">
        <v>14</v>
      </c>
      <c r="F16" s="32" t="s">
        <v>19</v>
      </c>
      <c r="G16" s="20" t="s">
        <v>185</v>
      </c>
      <c r="H16" s="20" t="s">
        <v>196</v>
      </c>
      <c r="I16" s="21">
        <v>43619</v>
      </c>
      <c r="J16" s="17">
        <v>60.11</v>
      </c>
      <c r="K16" s="22">
        <v>4073.65</v>
      </c>
      <c r="L16" s="17">
        <v>67.77</v>
      </c>
      <c r="M16" s="32">
        <v>123231</v>
      </c>
      <c r="N16" s="19" t="s">
        <v>280</v>
      </c>
      <c r="O16" s="21">
        <v>43619</v>
      </c>
      <c r="P16" s="42">
        <v>44061</v>
      </c>
      <c r="Q16" s="32" t="s">
        <v>249</v>
      </c>
      <c r="R16" s="43" t="s">
        <v>289</v>
      </c>
    </row>
    <row r="17" spans="1:18" ht="22.8" customHeight="1" thickBot="1" x14ac:dyDescent="0.35">
      <c r="A17" s="88"/>
      <c r="B17" s="9" t="s">
        <v>56</v>
      </c>
      <c r="C17" s="9" t="s">
        <v>57</v>
      </c>
      <c r="D17" s="8" t="s">
        <v>58</v>
      </c>
      <c r="E17" s="33" t="s">
        <v>14</v>
      </c>
      <c r="F17" s="33" t="s">
        <v>15</v>
      </c>
      <c r="G17" s="1" t="s">
        <v>181</v>
      </c>
      <c r="H17" s="3" t="s">
        <v>202</v>
      </c>
      <c r="I17" s="15">
        <v>43634</v>
      </c>
      <c r="J17" s="9">
        <v>66.41</v>
      </c>
      <c r="K17" s="10">
        <v>5347.33</v>
      </c>
      <c r="L17" s="9">
        <v>80.52</v>
      </c>
      <c r="M17" s="33">
        <v>313121</v>
      </c>
      <c r="N17" s="7" t="s">
        <v>281</v>
      </c>
      <c r="O17" s="15">
        <v>43622</v>
      </c>
      <c r="P17" s="6">
        <v>477075</v>
      </c>
      <c r="Q17" s="33" t="s">
        <v>250</v>
      </c>
      <c r="R17" s="36" t="s">
        <v>291</v>
      </c>
    </row>
    <row r="18" spans="1:18" ht="51" thickBot="1" x14ac:dyDescent="0.35">
      <c r="A18" s="88"/>
      <c r="B18" s="9" t="s">
        <v>59</v>
      </c>
      <c r="C18" s="9" t="s">
        <v>60</v>
      </c>
      <c r="D18" s="7" t="s">
        <v>61</v>
      </c>
      <c r="E18" s="33" t="s">
        <v>14</v>
      </c>
      <c r="F18" s="33" t="s">
        <v>19</v>
      </c>
      <c r="G18" s="2" t="s">
        <v>201</v>
      </c>
      <c r="H18" s="2" t="s">
        <v>197</v>
      </c>
      <c r="I18" s="15">
        <v>43634</v>
      </c>
      <c r="J18" s="9">
        <v>48.4</v>
      </c>
      <c r="K18" s="10">
        <v>3286.36</v>
      </c>
      <c r="L18" s="9">
        <v>67.900000000000006</v>
      </c>
      <c r="M18" s="33">
        <v>313131</v>
      </c>
      <c r="N18" s="9" t="s">
        <v>280</v>
      </c>
      <c r="O18" s="15">
        <v>43624</v>
      </c>
      <c r="P18" s="6">
        <v>85138</v>
      </c>
      <c r="Q18" s="33" t="s">
        <v>251</v>
      </c>
      <c r="R18" s="36" t="s">
        <v>290</v>
      </c>
    </row>
    <row r="19" spans="1:18" ht="15.6" x14ac:dyDescent="0.3">
      <c r="A19" s="88"/>
      <c r="B19" s="9" t="s">
        <v>62</v>
      </c>
      <c r="C19" s="9" t="s">
        <v>63</v>
      </c>
      <c r="D19" s="8" t="s">
        <v>64</v>
      </c>
      <c r="E19" s="33" t="s">
        <v>14</v>
      </c>
      <c r="F19" s="33" t="s">
        <v>19</v>
      </c>
      <c r="G19" s="1" t="s">
        <v>185</v>
      </c>
      <c r="H19" s="1" t="s">
        <v>198</v>
      </c>
      <c r="I19" s="15">
        <v>43622</v>
      </c>
      <c r="J19" s="9">
        <v>38</v>
      </c>
      <c r="K19" s="10">
        <v>2582.1</v>
      </c>
      <c r="L19" s="9">
        <v>67.95</v>
      </c>
      <c r="M19" s="33">
        <v>424212</v>
      </c>
      <c r="N19" s="9" t="s">
        <v>279</v>
      </c>
      <c r="O19" s="8" t="s">
        <v>175</v>
      </c>
      <c r="P19" s="8" t="s">
        <v>175</v>
      </c>
      <c r="Q19" s="33" t="s">
        <v>175</v>
      </c>
      <c r="R19" s="38" t="s">
        <v>175</v>
      </c>
    </row>
    <row r="20" spans="1:18" ht="15.6" x14ac:dyDescent="0.3">
      <c r="A20" s="88"/>
      <c r="B20" s="9" t="s">
        <v>65</v>
      </c>
      <c r="C20" s="9" t="s">
        <v>66</v>
      </c>
      <c r="D20" s="7" t="s">
        <v>67</v>
      </c>
      <c r="E20" s="33" t="s">
        <v>14</v>
      </c>
      <c r="F20" s="33" t="s">
        <v>15</v>
      </c>
      <c r="G20" s="2" t="s">
        <v>185</v>
      </c>
      <c r="H20" s="2" t="s">
        <v>199</v>
      </c>
      <c r="I20" s="15">
        <v>43635</v>
      </c>
      <c r="J20" s="9">
        <v>63</v>
      </c>
      <c r="K20" s="10">
        <v>4908.96</v>
      </c>
      <c r="L20" s="9">
        <v>77.92</v>
      </c>
      <c r="M20" s="33">
        <v>131314</v>
      </c>
      <c r="N20" s="7" t="s">
        <v>281</v>
      </c>
      <c r="O20" s="8" t="s">
        <v>175</v>
      </c>
      <c r="P20" s="8" t="s">
        <v>175</v>
      </c>
      <c r="Q20" s="33" t="s">
        <v>175</v>
      </c>
      <c r="R20" s="38" t="s">
        <v>175</v>
      </c>
    </row>
    <row r="21" spans="1:18" ht="28.8" x14ac:dyDescent="0.3">
      <c r="A21" s="88"/>
      <c r="B21" s="9" t="s">
        <v>68</v>
      </c>
      <c r="C21" s="9" t="s">
        <v>69</v>
      </c>
      <c r="D21" s="7" t="s">
        <v>70</v>
      </c>
      <c r="E21" s="33" t="s">
        <v>14</v>
      </c>
      <c r="F21" s="33" t="s">
        <v>19</v>
      </c>
      <c r="G21" s="2" t="s">
        <v>183</v>
      </c>
      <c r="H21" s="2" t="s">
        <v>200</v>
      </c>
      <c r="I21" s="15">
        <v>43629</v>
      </c>
      <c r="J21" s="7">
        <v>30.27</v>
      </c>
      <c r="K21" s="5">
        <v>2345.1</v>
      </c>
      <c r="L21" s="7">
        <v>77.45</v>
      </c>
      <c r="M21" s="33">
        <v>142323</v>
      </c>
      <c r="N21" s="9" t="s">
        <v>279</v>
      </c>
      <c r="O21" s="8" t="s">
        <v>175</v>
      </c>
      <c r="P21" s="8" t="s">
        <v>175</v>
      </c>
      <c r="Q21" s="33" t="s">
        <v>175</v>
      </c>
      <c r="R21" s="38" t="s">
        <v>175</v>
      </c>
    </row>
    <row r="22" spans="1:18" ht="16.2" thickBot="1" x14ac:dyDescent="0.35">
      <c r="A22" s="89"/>
      <c r="B22" s="23" t="s">
        <v>71</v>
      </c>
      <c r="C22" s="23" t="s">
        <v>72</v>
      </c>
      <c r="D22" s="25" t="s">
        <v>73</v>
      </c>
      <c r="E22" s="33" t="s">
        <v>315</v>
      </c>
      <c r="F22" s="33" t="s">
        <v>19</v>
      </c>
      <c r="G22" s="39" t="s">
        <v>185</v>
      </c>
      <c r="H22" s="39" t="s">
        <v>203</v>
      </c>
      <c r="I22" s="28">
        <v>43643</v>
      </c>
      <c r="J22" s="25">
        <v>14.94</v>
      </c>
      <c r="K22" s="40">
        <v>1111.1099999999999</v>
      </c>
      <c r="L22" s="25">
        <v>74.34</v>
      </c>
      <c r="M22" s="34">
        <v>231213</v>
      </c>
      <c r="N22" s="25" t="s">
        <v>281</v>
      </c>
      <c r="O22" s="24" t="s">
        <v>175</v>
      </c>
      <c r="P22" s="24" t="s">
        <v>175</v>
      </c>
      <c r="Q22" s="34" t="s">
        <v>175</v>
      </c>
      <c r="R22" s="44" t="s">
        <v>175</v>
      </c>
    </row>
    <row r="23" spans="1:18" ht="28.8" x14ac:dyDescent="0.3">
      <c r="A23" s="87">
        <v>44031</v>
      </c>
      <c r="B23" s="17" t="s">
        <v>75</v>
      </c>
      <c r="C23" s="17" t="s">
        <v>76</v>
      </c>
      <c r="D23" s="19" t="s">
        <v>77</v>
      </c>
      <c r="E23" s="32" t="s">
        <v>315</v>
      </c>
      <c r="F23" s="32" t="s">
        <v>19</v>
      </c>
      <c r="G23" s="29" t="s">
        <v>187</v>
      </c>
      <c r="H23" s="29" t="s">
        <v>204</v>
      </c>
      <c r="I23" s="21">
        <v>43654</v>
      </c>
      <c r="J23" s="17">
        <v>59.21</v>
      </c>
      <c r="K23" s="22">
        <v>4000</v>
      </c>
      <c r="L23" s="17">
        <v>67.56</v>
      </c>
      <c r="M23" s="32">
        <v>131313</v>
      </c>
      <c r="N23" s="19" t="s">
        <v>282</v>
      </c>
      <c r="O23" s="18" t="s">
        <v>175</v>
      </c>
      <c r="P23" s="18" t="s">
        <v>175</v>
      </c>
      <c r="Q23" s="18" t="s">
        <v>175</v>
      </c>
      <c r="R23" s="45" t="s">
        <v>175</v>
      </c>
    </row>
    <row r="24" spans="1:18" ht="28.8" x14ac:dyDescent="0.3">
      <c r="A24" s="88"/>
      <c r="B24" s="9" t="s">
        <v>78</v>
      </c>
      <c r="C24" s="9" t="s">
        <v>79</v>
      </c>
      <c r="D24" s="8" t="s">
        <v>80</v>
      </c>
      <c r="E24" s="33" t="s">
        <v>14</v>
      </c>
      <c r="F24" s="33" t="s">
        <v>19</v>
      </c>
      <c r="G24" s="1" t="s">
        <v>178</v>
      </c>
      <c r="H24" s="1" t="s">
        <v>205</v>
      </c>
      <c r="I24" s="15">
        <v>43675</v>
      </c>
      <c r="J24" s="9">
        <v>28.8</v>
      </c>
      <c r="K24" s="10">
        <v>1983.46</v>
      </c>
      <c r="L24" s="9">
        <v>68.87</v>
      </c>
      <c r="M24" s="33">
        <v>132425</v>
      </c>
      <c r="N24" s="7" t="s">
        <v>281</v>
      </c>
      <c r="O24" s="8" t="s">
        <v>175</v>
      </c>
      <c r="P24" s="8" t="s">
        <v>175</v>
      </c>
      <c r="Q24" s="8" t="s">
        <v>175</v>
      </c>
      <c r="R24" s="46" t="s">
        <v>175</v>
      </c>
    </row>
    <row r="25" spans="1:18" ht="28.8" x14ac:dyDescent="0.3">
      <c r="A25" s="88"/>
      <c r="B25" s="9" t="s">
        <v>81</v>
      </c>
      <c r="C25" s="9" t="s">
        <v>82</v>
      </c>
      <c r="D25" s="7" t="s">
        <v>83</v>
      </c>
      <c r="E25" s="33" t="s">
        <v>14</v>
      </c>
      <c r="F25" s="33" t="s">
        <v>19</v>
      </c>
      <c r="G25" s="2" t="s">
        <v>187</v>
      </c>
      <c r="H25" s="2" t="s">
        <v>206</v>
      </c>
      <c r="I25" s="15">
        <v>43659</v>
      </c>
      <c r="J25" s="9">
        <v>54.3</v>
      </c>
      <c r="K25" s="10">
        <v>4411.88</v>
      </c>
      <c r="L25" s="9">
        <v>81.25</v>
      </c>
      <c r="M25" s="33">
        <v>423232</v>
      </c>
      <c r="N25" s="7" t="s">
        <v>280</v>
      </c>
      <c r="O25" s="8" t="s">
        <v>175</v>
      </c>
      <c r="P25" s="8" t="s">
        <v>175</v>
      </c>
      <c r="Q25" s="8" t="s">
        <v>175</v>
      </c>
      <c r="R25" s="46" t="s">
        <v>175</v>
      </c>
    </row>
    <row r="26" spans="1:18" ht="28.8" x14ac:dyDescent="0.3">
      <c r="A26" s="88"/>
      <c r="B26" s="9" t="s">
        <v>84</v>
      </c>
      <c r="C26" s="9" t="s">
        <v>85</v>
      </c>
      <c r="D26" s="7" t="s">
        <v>86</v>
      </c>
      <c r="E26" s="33" t="s">
        <v>14</v>
      </c>
      <c r="F26" s="33" t="s">
        <v>19</v>
      </c>
      <c r="G26" s="2" t="s">
        <v>187</v>
      </c>
      <c r="H26" s="2" t="s">
        <v>207</v>
      </c>
      <c r="I26" s="15">
        <v>43648</v>
      </c>
      <c r="J26" s="9">
        <v>40</v>
      </c>
      <c r="K26" s="10">
        <v>2754.8</v>
      </c>
      <c r="L26" s="9">
        <v>68.87</v>
      </c>
      <c r="M26" s="33">
        <v>323422</v>
      </c>
      <c r="N26" s="7" t="s">
        <v>279</v>
      </c>
      <c r="O26" s="8" t="s">
        <v>175</v>
      </c>
      <c r="P26" s="8" t="s">
        <v>175</v>
      </c>
      <c r="Q26" s="8" t="s">
        <v>175</v>
      </c>
      <c r="R26" s="46" t="s">
        <v>175</v>
      </c>
    </row>
    <row r="27" spans="1:18" ht="28.8" x14ac:dyDescent="0.3">
      <c r="A27" s="88"/>
      <c r="B27" s="9" t="s">
        <v>87</v>
      </c>
      <c r="C27" s="9" t="s">
        <v>88</v>
      </c>
      <c r="D27" s="7" t="s">
        <v>89</v>
      </c>
      <c r="E27" s="33" t="s">
        <v>14</v>
      </c>
      <c r="F27" s="33" t="s">
        <v>15</v>
      </c>
      <c r="G27" s="2" t="s">
        <v>208</v>
      </c>
      <c r="H27" s="2" t="s">
        <v>209</v>
      </c>
      <c r="I27" s="15">
        <v>43661</v>
      </c>
      <c r="J27" s="9">
        <v>52</v>
      </c>
      <c r="K27" s="10">
        <v>4086.16</v>
      </c>
      <c r="L27" s="9">
        <v>78.58</v>
      </c>
      <c r="M27" s="33">
        <v>424222</v>
      </c>
      <c r="N27" s="7" t="s">
        <v>281</v>
      </c>
      <c r="O27" s="8" t="s">
        <v>175</v>
      </c>
      <c r="P27" s="8" t="s">
        <v>175</v>
      </c>
      <c r="Q27" s="8" t="s">
        <v>175</v>
      </c>
      <c r="R27" s="46" t="s">
        <v>175</v>
      </c>
    </row>
    <row r="28" spans="1:18" ht="51" thickBot="1" x14ac:dyDescent="0.35">
      <c r="A28" s="88"/>
      <c r="B28" s="9" t="s">
        <v>90</v>
      </c>
      <c r="C28" s="9" t="s">
        <v>91</v>
      </c>
      <c r="D28" s="7" t="s">
        <v>92</v>
      </c>
      <c r="E28" s="33" t="s">
        <v>14</v>
      </c>
      <c r="F28" s="33" t="s">
        <v>19</v>
      </c>
      <c r="G28" s="2" t="s">
        <v>185</v>
      </c>
      <c r="H28" s="2" t="s">
        <v>203</v>
      </c>
      <c r="I28" s="15">
        <v>43674</v>
      </c>
      <c r="J28" s="7">
        <v>38.020000000000003</v>
      </c>
      <c r="K28" s="5">
        <v>2986.46</v>
      </c>
      <c r="L28" s="7">
        <v>78.53</v>
      </c>
      <c r="M28" s="33">
        <v>243232</v>
      </c>
      <c r="N28" s="7" t="s">
        <v>279</v>
      </c>
      <c r="O28" s="15">
        <v>43672</v>
      </c>
      <c r="P28" s="6">
        <v>85138</v>
      </c>
      <c r="Q28" s="33" t="s">
        <v>252</v>
      </c>
      <c r="R28" s="36" t="s">
        <v>292</v>
      </c>
    </row>
    <row r="29" spans="1:18" ht="51" thickBot="1" x14ac:dyDescent="0.35">
      <c r="A29" s="89"/>
      <c r="B29" s="23" t="s">
        <v>93</v>
      </c>
      <c r="C29" s="23" t="s">
        <v>94</v>
      </c>
      <c r="D29" s="24" t="s">
        <v>95</v>
      </c>
      <c r="E29" s="34" t="s">
        <v>14</v>
      </c>
      <c r="F29" s="34" t="s">
        <v>19</v>
      </c>
      <c r="G29" s="27" t="s">
        <v>210</v>
      </c>
      <c r="H29" s="27" t="s">
        <v>211</v>
      </c>
      <c r="I29" s="28">
        <v>43656</v>
      </c>
      <c r="J29" s="25">
        <v>36.83</v>
      </c>
      <c r="K29" s="40">
        <v>2898.35</v>
      </c>
      <c r="L29" s="25">
        <v>78.680000000000007</v>
      </c>
      <c r="M29" s="34">
        <v>122212</v>
      </c>
      <c r="N29" s="25" t="s">
        <v>281</v>
      </c>
      <c r="O29" s="28">
        <v>43656</v>
      </c>
      <c r="P29" s="47">
        <v>487451</v>
      </c>
      <c r="Q29" s="34" t="s">
        <v>253</v>
      </c>
      <c r="R29" s="48" t="s">
        <v>293</v>
      </c>
    </row>
    <row r="30" spans="1:18" ht="15.6" x14ac:dyDescent="0.3">
      <c r="A30" s="88">
        <v>44062</v>
      </c>
      <c r="B30" s="69" t="s">
        <v>71</v>
      </c>
      <c r="C30" s="69" t="s">
        <v>72</v>
      </c>
      <c r="D30" s="70" t="s">
        <v>73</v>
      </c>
      <c r="E30" s="71" t="s">
        <v>315</v>
      </c>
      <c r="F30" s="72" t="s">
        <v>19</v>
      </c>
      <c r="G30" s="73" t="s">
        <v>185</v>
      </c>
      <c r="H30" s="73" t="s">
        <v>203</v>
      </c>
      <c r="I30" s="74">
        <v>43691</v>
      </c>
      <c r="J30" s="69">
        <v>58.85</v>
      </c>
      <c r="K30" s="75">
        <v>4624.43</v>
      </c>
      <c r="L30" s="69">
        <v>78.58</v>
      </c>
      <c r="M30" s="72">
        <v>423243</v>
      </c>
      <c r="N30" s="70" t="s">
        <v>282</v>
      </c>
      <c r="O30" s="76" t="s">
        <v>175</v>
      </c>
      <c r="P30" s="76" t="s">
        <v>175</v>
      </c>
      <c r="Q30" s="72" t="s">
        <v>175</v>
      </c>
      <c r="R30" s="77" t="s">
        <v>175</v>
      </c>
    </row>
    <row r="31" spans="1:18" ht="34.200000000000003" thickBot="1" x14ac:dyDescent="0.35">
      <c r="A31" s="88"/>
      <c r="B31" s="9" t="s">
        <v>96</v>
      </c>
      <c r="C31" s="9" t="s">
        <v>97</v>
      </c>
      <c r="D31" s="7" t="s">
        <v>98</v>
      </c>
      <c r="E31" s="51" t="s">
        <v>315</v>
      </c>
      <c r="F31" s="33" t="s">
        <v>19</v>
      </c>
      <c r="G31" s="2" t="s">
        <v>187</v>
      </c>
      <c r="H31" s="2" t="s">
        <v>212</v>
      </c>
      <c r="I31" s="15">
        <v>43704</v>
      </c>
      <c r="J31" s="9">
        <v>67.7</v>
      </c>
      <c r="K31" s="10">
        <v>5520.94</v>
      </c>
      <c r="L31" s="9">
        <v>81.55</v>
      </c>
      <c r="M31" s="33">
        <v>323434</v>
      </c>
      <c r="N31" s="7" t="s">
        <v>281</v>
      </c>
      <c r="O31" s="15">
        <v>43685</v>
      </c>
      <c r="P31" s="6">
        <v>75343</v>
      </c>
      <c r="Q31" s="33" t="s">
        <v>254</v>
      </c>
      <c r="R31" s="36" t="s">
        <v>294</v>
      </c>
    </row>
    <row r="32" spans="1:18" ht="34.200000000000003" thickBot="1" x14ac:dyDescent="0.35">
      <c r="A32" s="88"/>
      <c r="B32" s="9" t="s">
        <v>99</v>
      </c>
      <c r="C32" s="9" t="s">
        <v>100</v>
      </c>
      <c r="D32" s="7" t="s">
        <v>101</v>
      </c>
      <c r="E32" s="51" t="s">
        <v>14</v>
      </c>
      <c r="F32" s="33" t="s">
        <v>19</v>
      </c>
      <c r="G32" s="2" t="s">
        <v>187</v>
      </c>
      <c r="H32" s="2" t="s">
        <v>213</v>
      </c>
      <c r="I32" s="15">
        <v>43696</v>
      </c>
      <c r="J32" s="9">
        <v>47.31</v>
      </c>
      <c r="K32" s="10">
        <v>3282.84</v>
      </c>
      <c r="L32" s="9">
        <v>69.39</v>
      </c>
      <c r="M32" s="33">
        <v>234342</v>
      </c>
      <c r="N32" s="7" t="s">
        <v>280</v>
      </c>
      <c r="O32" s="15">
        <v>43701</v>
      </c>
      <c r="P32" s="6">
        <v>57560</v>
      </c>
      <c r="Q32" s="33" t="s">
        <v>255</v>
      </c>
      <c r="R32" s="36" t="s">
        <v>295</v>
      </c>
    </row>
    <row r="33" spans="1:18" ht="17.399999999999999" thickBot="1" x14ac:dyDescent="0.35">
      <c r="A33" s="88"/>
      <c r="B33" s="9" t="s">
        <v>102</v>
      </c>
      <c r="C33" s="9" t="s">
        <v>103</v>
      </c>
      <c r="D33" s="8" t="s">
        <v>104</v>
      </c>
      <c r="E33" s="51" t="s">
        <v>14</v>
      </c>
      <c r="F33" s="33" t="s">
        <v>19</v>
      </c>
      <c r="G33" s="1" t="s">
        <v>185</v>
      </c>
      <c r="H33" s="1" t="s">
        <v>214</v>
      </c>
      <c r="I33" s="15">
        <v>43704</v>
      </c>
      <c r="J33" s="9">
        <v>54.32</v>
      </c>
      <c r="K33" s="10">
        <v>3769.26</v>
      </c>
      <c r="L33" s="9">
        <v>69.39</v>
      </c>
      <c r="M33" s="33">
        <v>432434</v>
      </c>
      <c r="N33" s="7" t="s">
        <v>279</v>
      </c>
      <c r="O33" s="15">
        <v>43698</v>
      </c>
      <c r="P33" s="6">
        <v>114822</v>
      </c>
      <c r="Q33" s="33" t="s">
        <v>256</v>
      </c>
      <c r="R33" s="36" t="s">
        <v>284</v>
      </c>
    </row>
    <row r="34" spans="1:18" ht="15.6" x14ac:dyDescent="0.3">
      <c r="A34" s="88"/>
      <c r="B34" s="9" t="s">
        <v>105</v>
      </c>
      <c r="C34" s="9" t="s">
        <v>106</v>
      </c>
      <c r="D34" s="7" t="s">
        <v>107</v>
      </c>
      <c r="E34" s="51" t="s">
        <v>315</v>
      </c>
      <c r="F34" s="33" t="s">
        <v>19</v>
      </c>
      <c r="G34" s="2" t="s">
        <v>187</v>
      </c>
      <c r="H34" s="2" t="s">
        <v>215</v>
      </c>
      <c r="I34" s="15">
        <v>43682</v>
      </c>
      <c r="J34" s="9">
        <v>54.52</v>
      </c>
      <c r="K34" s="10">
        <v>4302.72</v>
      </c>
      <c r="L34" s="9">
        <v>78.92</v>
      </c>
      <c r="M34" s="33">
        <v>424343</v>
      </c>
      <c r="N34" s="7" t="s">
        <v>281</v>
      </c>
      <c r="O34" s="8" t="s">
        <v>175</v>
      </c>
      <c r="P34" s="8" t="s">
        <v>175</v>
      </c>
      <c r="Q34" s="8" t="s">
        <v>175</v>
      </c>
      <c r="R34" s="46" t="s">
        <v>175</v>
      </c>
    </row>
    <row r="35" spans="1:18" ht="28.8" x14ac:dyDescent="0.3">
      <c r="A35" s="88"/>
      <c r="B35" s="9" t="s">
        <v>108</v>
      </c>
      <c r="C35" s="9" t="s">
        <v>109</v>
      </c>
      <c r="D35" s="8" t="s">
        <v>110</v>
      </c>
      <c r="E35" s="51" t="s">
        <v>315</v>
      </c>
      <c r="F35" s="33" t="s">
        <v>19</v>
      </c>
      <c r="G35" s="1" t="s">
        <v>216</v>
      </c>
      <c r="H35" s="1" t="s">
        <v>217</v>
      </c>
      <c r="I35" s="15">
        <v>43699</v>
      </c>
      <c r="J35" s="7">
        <v>47.1</v>
      </c>
      <c r="K35" s="5">
        <v>3564.48</v>
      </c>
      <c r="L35" s="7">
        <v>75.67</v>
      </c>
      <c r="M35" s="33">
        <v>434324</v>
      </c>
      <c r="N35" s="7" t="s">
        <v>279</v>
      </c>
      <c r="O35" s="8" t="s">
        <v>175</v>
      </c>
      <c r="P35" s="8" t="s">
        <v>175</v>
      </c>
      <c r="Q35" s="8" t="s">
        <v>175</v>
      </c>
      <c r="R35" s="46" t="s">
        <v>175</v>
      </c>
    </row>
    <row r="36" spans="1:18" ht="16.2" thickBot="1" x14ac:dyDescent="0.35">
      <c r="A36" s="89"/>
      <c r="B36" s="23" t="s">
        <v>111</v>
      </c>
      <c r="C36" s="23" t="s">
        <v>112</v>
      </c>
      <c r="D36" s="24" t="s">
        <v>113</v>
      </c>
      <c r="E36" s="51" t="s">
        <v>315</v>
      </c>
      <c r="F36" s="33" t="s">
        <v>19</v>
      </c>
      <c r="G36" s="27" t="s">
        <v>218</v>
      </c>
      <c r="H36" s="27" t="s">
        <v>219</v>
      </c>
      <c r="I36" s="28">
        <v>43695</v>
      </c>
      <c r="J36" s="25">
        <v>27.51</v>
      </c>
      <c r="K36" s="40">
        <v>2112.89</v>
      </c>
      <c r="L36" s="25">
        <v>76.78</v>
      </c>
      <c r="M36" s="34">
        <v>434352</v>
      </c>
      <c r="N36" s="25" t="s">
        <v>281</v>
      </c>
      <c r="O36" s="24" t="s">
        <v>175</v>
      </c>
      <c r="P36" s="24" t="s">
        <v>175</v>
      </c>
      <c r="Q36" s="24" t="s">
        <v>175</v>
      </c>
      <c r="R36" s="41" t="s">
        <v>175</v>
      </c>
    </row>
    <row r="37" spans="1:18" ht="17.399999999999999" thickBot="1" x14ac:dyDescent="0.35">
      <c r="A37" s="87">
        <v>44093</v>
      </c>
      <c r="B37" s="17" t="s">
        <v>114</v>
      </c>
      <c r="C37" s="17" t="s">
        <v>115</v>
      </c>
      <c r="D37" s="19" t="s">
        <v>116</v>
      </c>
      <c r="E37" s="32" t="s">
        <v>14</v>
      </c>
      <c r="F37" s="32" t="s">
        <v>15</v>
      </c>
      <c r="G37" s="29" t="s">
        <v>185</v>
      </c>
      <c r="H37" s="29" t="s">
        <v>220</v>
      </c>
      <c r="I37" s="21">
        <v>43717</v>
      </c>
      <c r="J37" s="17">
        <v>54.22</v>
      </c>
      <c r="K37" s="22">
        <v>4103.84</v>
      </c>
      <c r="L37" s="17">
        <v>75.680000000000007</v>
      </c>
      <c r="M37" s="32">
        <v>333211</v>
      </c>
      <c r="N37" s="19" t="s">
        <v>280</v>
      </c>
      <c r="O37" s="21">
        <v>43727</v>
      </c>
      <c r="P37" s="42">
        <v>9933</v>
      </c>
      <c r="Q37" s="32" t="s">
        <v>257</v>
      </c>
      <c r="R37" s="43" t="s">
        <v>284</v>
      </c>
    </row>
    <row r="38" spans="1:18" ht="29.4" thickBot="1" x14ac:dyDescent="0.35">
      <c r="A38" s="88"/>
      <c r="B38" s="9" t="s">
        <v>117</v>
      </c>
      <c r="C38" s="9" t="s">
        <v>118</v>
      </c>
      <c r="D38" s="7" t="s">
        <v>119</v>
      </c>
      <c r="E38" s="33" t="s">
        <v>14</v>
      </c>
      <c r="F38" s="33" t="s">
        <v>19</v>
      </c>
      <c r="G38" s="2" t="s">
        <v>185</v>
      </c>
      <c r="H38" s="2" t="s">
        <v>203</v>
      </c>
      <c r="I38" s="15">
        <v>43719</v>
      </c>
      <c r="J38" s="9">
        <v>65</v>
      </c>
      <c r="K38" s="10">
        <v>5338.45</v>
      </c>
      <c r="L38" s="9">
        <v>82.13</v>
      </c>
      <c r="M38" s="33">
        <v>243444</v>
      </c>
      <c r="N38" s="7" t="s">
        <v>281</v>
      </c>
      <c r="O38" s="15">
        <v>43733</v>
      </c>
      <c r="P38" s="6">
        <v>24247</v>
      </c>
      <c r="Q38" s="33" t="s">
        <v>258</v>
      </c>
      <c r="R38" s="36" t="s">
        <v>296</v>
      </c>
    </row>
    <row r="39" spans="1:18" ht="28.8" x14ac:dyDescent="0.3">
      <c r="A39" s="88"/>
      <c r="B39" s="9" t="s">
        <v>120</v>
      </c>
      <c r="C39" s="9" t="s">
        <v>121</v>
      </c>
      <c r="D39" s="7" t="s">
        <v>122</v>
      </c>
      <c r="E39" s="33" t="s">
        <v>14</v>
      </c>
      <c r="F39" s="33" t="s">
        <v>19</v>
      </c>
      <c r="G39" s="2" t="s">
        <v>183</v>
      </c>
      <c r="H39" s="2" t="s">
        <v>221</v>
      </c>
      <c r="I39" s="15">
        <v>43735</v>
      </c>
      <c r="J39" s="9">
        <v>33.369999999999997</v>
      </c>
      <c r="K39" s="10">
        <v>2330.23</v>
      </c>
      <c r="L39" s="9">
        <v>69.83</v>
      </c>
      <c r="M39" s="33">
        <v>543331</v>
      </c>
      <c r="N39" s="9" t="s">
        <v>280</v>
      </c>
      <c r="O39" s="8" t="s">
        <v>175</v>
      </c>
      <c r="P39" s="8" t="s">
        <v>175</v>
      </c>
      <c r="Q39" s="8" t="s">
        <v>175</v>
      </c>
      <c r="R39" s="46" t="s">
        <v>175</v>
      </c>
    </row>
    <row r="40" spans="1:18" ht="15.6" x14ac:dyDescent="0.3">
      <c r="A40" s="88"/>
      <c r="B40" s="9" t="s">
        <v>123</v>
      </c>
      <c r="C40" s="9" t="s">
        <v>124</v>
      </c>
      <c r="D40" s="8" t="s">
        <v>125</v>
      </c>
      <c r="E40" s="33" t="s">
        <v>14</v>
      </c>
      <c r="F40" s="33" t="s">
        <v>19</v>
      </c>
      <c r="G40" s="1" t="s">
        <v>187</v>
      </c>
      <c r="H40" s="3" t="s">
        <v>222</v>
      </c>
      <c r="I40" s="15">
        <v>43737</v>
      </c>
      <c r="J40" s="9">
        <v>55.8</v>
      </c>
      <c r="K40" s="10">
        <v>3896.51</v>
      </c>
      <c r="L40" s="9">
        <v>69.83</v>
      </c>
      <c r="M40" s="33">
        <v>333432</v>
      </c>
      <c r="N40" s="9" t="s">
        <v>279</v>
      </c>
      <c r="O40" s="8" t="s">
        <v>175</v>
      </c>
      <c r="P40" s="8" t="s">
        <v>175</v>
      </c>
      <c r="Q40" s="8" t="s">
        <v>175</v>
      </c>
      <c r="R40" s="46" t="s">
        <v>175</v>
      </c>
    </row>
    <row r="41" spans="1:18" ht="15.6" x14ac:dyDescent="0.3">
      <c r="A41" s="88"/>
      <c r="B41" s="9" t="s">
        <v>126</v>
      </c>
      <c r="C41" s="9" t="s">
        <v>127</v>
      </c>
      <c r="D41" s="8" t="s">
        <v>128</v>
      </c>
      <c r="E41" s="33" t="s">
        <v>14</v>
      </c>
      <c r="F41" s="33" t="s">
        <v>19</v>
      </c>
      <c r="G41" s="1" t="s">
        <v>185</v>
      </c>
      <c r="H41" s="1" t="s">
        <v>203</v>
      </c>
      <c r="I41" s="15">
        <v>43733</v>
      </c>
      <c r="J41" s="9">
        <v>37</v>
      </c>
      <c r="K41" s="10">
        <v>2588.89</v>
      </c>
      <c r="L41" s="9">
        <v>69.97</v>
      </c>
      <c r="M41" s="33">
        <v>224232</v>
      </c>
      <c r="N41" s="7" t="s">
        <v>281</v>
      </c>
      <c r="O41" s="8" t="s">
        <v>175</v>
      </c>
      <c r="P41" s="8" t="s">
        <v>175</v>
      </c>
      <c r="Q41" s="8" t="s">
        <v>175</v>
      </c>
      <c r="R41" s="46" t="s">
        <v>175</v>
      </c>
    </row>
    <row r="42" spans="1:18" ht="17.399999999999999" thickBot="1" x14ac:dyDescent="0.35">
      <c r="A42" s="88"/>
      <c r="B42" s="9" t="s">
        <v>129</v>
      </c>
      <c r="C42" s="9" t="s">
        <v>130</v>
      </c>
      <c r="D42" s="8" t="s">
        <v>131</v>
      </c>
      <c r="E42" s="33" t="s">
        <v>14</v>
      </c>
      <c r="F42" s="33" t="s">
        <v>19</v>
      </c>
      <c r="G42" s="1" t="s">
        <v>185</v>
      </c>
      <c r="H42" s="1" t="s">
        <v>203</v>
      </c>
      <c r="I42" s="15">
        <v>43721</v>
      </c>
      <c r="J42" s="7">
        <v>17.12</v>
      </c>
      <c r="K42" s="5">
        <v>1345.56</v>
      </c>
      <c r="L42" s="7">
        <v>78.569999999999993</v>
      </c>
      <c r="M42" s="33">
        <v>424242</v>
      </c>
      <c r="N42" s="9" t="s">
        <v>279</v>
      </c>
      <c r="O42" s="15">
        <v>43710</v>
      </c>
      <c r="P42" s="6">
        <v>48028</v>
      </c>
      <c r="Q42" s="33" t="s">
        <v>259</v>
      </c>
      <c r="R42" s="36" t="s">
        <v>284</v>
      </c>
    </row>
    <row r="43" spans="1:18" ht="16.2" thickBot="1" x14ac:dyDescent="0.35">
      <c r="A43" s="89"/>
      <c r="B43" s="23" t="s">
        <v>132</v>
      </c>
      <c r="C43" s="23" t="s">
        <v>133</v>
      </c>
      <c r="D43" s="24" t="s">
        <v>134</v>
      </c>
      <c r="E43" s="33" t="s">
        <v>14</v>
      </c>
      <c r="F43" s="33" t="s">
        <v>19</v>
      </c>
      <c r="G43" s="27" t="s">
        <v>187</v>
      </c>
      <c r="H43" s="27" t="s">
        <v>223</v>
      </c>
      <c r="I43" s="28">
        <v>43720</v>
      </c>
      <c r="J43" s="25">
        <v>21.34</v>
      </c>
      <c r="K43" s="40">
        <v>1678.9</v>
      </c>
      <c r="L43" s="25">
        <v>78.67</v>
      </c>
      <c r="M43" s="34">
        <v>341213</v>
      </c>
      <c r="N43" s="25" t="s">
        <v>281</v>
      </c>
      <c r="O43" s="24" t="s">
        <v>175</v>
      </c>
      <c r="P43" s="24" t="s">
        <v>175</v>
      </c>
      <c r="Q43" s="34" t="s">
        <v>175</v>
      </c>
      <c r="R43" s="41" t="s">
        <v>175</v>
      </c>
    </row>
    <row r="44" spans="1:18" ht="29.4" thickBot="1" x14ac:dyDescent="0.35">
      <c r="A44" s="87">
        <v>44123</v>
      </c>
      <c r="B44" s="17" t="s">
        <v>20</v>
      </c>
      <c r="C44" s="17" t="s">
        <v>21</v>
      </c>
      <c r="D44" s="19" t="s">
        <v>22</v>
      </c>
      <c r="E44" s="32" t="s">
        <v>14</v>
      </c>
      <c r="F44" s="32" t="s">
        <v>19</v>
      </c>
      <c r="G44" s="29" t="s">
        <v>178</v>
      </c>
      <c r="H44" s="29" t="s">
        <v>180</v>
      </c>
      <c r="I44" s="21">
        <v>43754</v>
      </c>
      <c r="J44" s="17">
        <v>10.19</v>
      </c>
      <c r="K44" s="17">
        <v>810.3</v>
      </c>
      <c r="L44" s="17">
        <v>79.52</v>
      </c>
      <c r="M44" s="32">
        <v>444321</v>
      </c>
      <c r="N44" s="19" t="s">
        <v>280</v>
      </c>
      <c r="O44" s="21">
        <v>43743</v>
      </c>
      <c r="P44" s="42">
        <v>18432</v>
      </c>
      <c r="Q44" s="32" t="s">
        <v>260</v>
      </c>
      <c r="R44" s="43" t="s">
        <v>297</v>
      </c>
    </row>
    <row r="45" spans="1:18" ht="15.6" x14ac:dyDescent="0.3">
      <c r="A45" s="88"/>
      <c r="B45" s="9" t="s">
        <v>38</v>
      </c>
      <c r="C45" s="9" t="s">
        <v>39</v>
      </c>
      <c r="D45" s="7" t="s">
        <v>40</v>
      </c>
      <c r="E45" s="33" t="s">
        <v>14</v>
      </c>
      <c r="F45" s="33" t="s">
        <v>15</v>
      </c>
      <c r="G45" s="2" t="s">
        <v>178</v>
      </c>
      <c r="H45" s="2" t="s">
        <v>190</v>
      </c>
      <c r="I45" s="15">
        <v>43744</v>
      </c>
      <c r="J45" s="9">
        <v>50.83</v>
      </c>
      <c r="K45" s="10">
        <v>4056.23</v>
      </c>
      <c r="L45" s="9">
        <v>79.8</v>
      </c>
      <c r="M45" s="33">
        <v>223443</v>
      </c>
      <c r="N45" s="7" t="s">
        <v>281</v>
      </c>
      <c r="O45" s="8" t="s">
        <v>175</v>
      </c>
      <c r="P45" s="8" t="s">
        <v>175</v>
      </c>
      <c r="Q45" s="8" t="s">
        <v>175</v>
      </c>
      <c r="R45" s="46" t="s">
        <v>175</v>
      </c>
    </row>
    <row r="46" spans="1:18" ht="15.6" x14ac:dyDescent="0.3">
      <c r="A46" s="88"/>
      <c r="B46" s="9" t="s">
        <v>41</v>
      </c>
      <c r="C46" s="9" t="s">
        <v>42</v>
      </c>
      <c r="D46" s="8" t="s">
        <v>43</v>
      </c>
      <c r="E46" s="33" t="s">
        <v>14</v>
      </c>
      <c r="F46" s="33" t="s">
        <v>15</v>
      </c>
      <c r="G46" s="1" t="s">
        <v>178</v>
      </c>
      <c r="H46" s="1" t="s">
        <v>191</v>
      </c>
      <c r="I46" s="15">
        <v>43741</v>
      </c>
      <c r="J46" s="9">
        <v>72</v>
      </c>
      <c r="K46" s="10">
        <v>5952.96</v>
      </c>
      <c r="L46" s="9">
        <v>82.68</v>
      </c>
      <c r="M46" s="33">
        <v>545451</v>
      </c>
      <c r="N46" s="9" t="s">
        <v>280</v>
      </c>
      <c r="O46" s="8" t="s">
        <v>175</v>
      </c>
      <c r="P46" s="8" t="s">
        <v>175</v>
      </c>
      <c r="Q46" s="8" t="s">
        <v>175</v>
      </c>
      <c r="R46" s="46" t="s">
        <v>175</v>
      </c>
    </row>
    <row r="47" spans="1:18" ht="28.8" x14ac:dyDescent="0.3">
      <c r="A47" s="88"/>
      <c r="B47" s="9" t="s">
        <v>44</v>
      </c>
      <c r="C47" s="9" t="s">
        <v>45</v>
      </c>
      <c r="D47" s="7" t="s">
        <v>46</v>
      </c>
      <c r="E47" s="33" t="s">
        <v>14</v>
      </c>
      <c r="F47" s="33" t="s">
        <v>19</v>
      </c>
      <c r="G47" s="2" t="s">
        <v>178</v>
      </c>
      <c r="H47" s="2" t="s">
        <v>192</v>
      </c>
      <c r="I47" s="15">
        <v>43753</v>
      </c>
      <c r="J47" s="9">
        <v>55</v>
      </c>
      <c r="K47" s="10">
        <v>4403.8500000000004</v>
      </c>
      <c r="L47" s="9">
        <v>80.069999999999993</v>
      </c>
      <c r="M47" s="33">
        <v>434352</v>
      </c>
      <c r="N47" s="9" t="s">
        <v>279</v>
      </c>
      <c r="O47" s="8" t="s">
        <v>175</v>
      </c>
      <c r="P47" s="8" t="s">
        <v>175</v>
      </c>
      <c r="Q47" s="8" t="s">
        <v>175</v>
      </c>
      <c r="R47" s="46" t="s">
        <v>175</v>
      </c>
    </row>
    <row r="48" spans="1:18" ht="56.4" customHeight="1" thickBot="1" x14ac:dyDescent="0.35">
      <c r="A48" s="88"/>
      <c r="B48" s="9" t="s">
        <v>47</v>
      </c>
      <c r="C48" s="9" t="s">
        <v>48</v>
      </c>
      <c r="D48" s="7" t="s">
        <v>49</v>
      </c>
      <c r="E48" s="33" t="s">
        <v>14</v>
      </c>
      <c r="F48" s="33" t="s">
        <v>15</v>
      </c>
      <c r="G48" s="1" t="s">
        <v>178</v>
      </c>
      <c r="H48" s="3" t="s">
        <v>193</v>
      </c>
      <c r="I48" s="15">
        <v>43742</v>
      </c>
      <c r="J48" s="9">
        <v>53</v>
      </c>
      <c r="K48" s="10">
        <v>4243.71</v>
      </c>
      <c r="L48" s="9">
        <v>80.069999999999993</v>
      </c>
      <c r="M48" s="33">
        <v>442331</v>
      </c>
      <c r="N48" s="7" t="s">
        <v>281</v>
      </c>
      <c r="O48" s="15">
        <v>43754</v>
      </c>
      <c r="P48" s="6">
        <v>94115</v>
      </c>
      <c r="Q48" s="33" t="s">
        <v>261</v>
      </c>
      <c r="R48" s="36" t="s">
        <v>298</v>
      </c>
    </row>
    <row r="49" spans="1:18" ht="29.4" thickBot="1" x14ac:dyDescent="0.35">
      <c r="A49" s="88"/>
      <c r="B49" s="9" t="s">
        <v>50</v>
      </c>
      <c r="C49" s="9" t="s">
        <v>51</v>
      </c>
      <c r="D49" s="7" t="s">
        <v>52</v>
      </c>
      <c r="E49" s="33" t="s">
        <v>14</v>
      </c>
      <c r="F49" s="33" t="s">
        <v>19</v>
      </c>
      <c r="G49" s="2" t="s">
        <v>194</v>
      </c>
      <c r="H49" s="2" t="s">
        <v>195</v>
      </c>
      <c r="I49" s="15">
        <v>43743</v>
      </c>
      <c r="J49" s="12">
        <v>29.9</v>
      </c>
      <c r="K49" s="5">
        <v>2345.9</v>
      </c>
      <c r="L49" s="7">
        <v>78.45</v>
      </c>
      <c r="M49" s="33">
        <v>546243</v>
      </c>
      <c r="N49" s="9" t="s">
        <v>279</v>
      </c>
      <c r="O49" s="15">
        <v>43754</v>
      </c>
      <c r="P49" s="6">
        <v>68110</v>
      </c>
      <c r="Q49" s="33" t="s">
        <v>262</v>
      </c>
      <c r="R49" s="36" t="s">
        <v>284</v>
      </c>
    </row>
    <row r="50" spans="1:18" ht="16.2" thickBot="1" x14ac:dyDescent="0.35">
      <c r="A50" s="89"/>
      <c r="B50" s="23" t="s">
        <v>53</v>
      </c>
      <c r="C50" s="23" t="s">
        <v>54</v>
      </c>
      <c r="D50" s="24" t="s">
        <v>55</v>
      </c>
      <c r="E50" s="33" t="s">
        <v>14</v>
      </c>
      <c r="F50" s="33" t="s">
        <v>19</v>
      </c>
      <c r="G50" s="26" t="s">
        <v>185</v>
      </c>
      <c r="H50" s="26" t="s">
        <v>196</v>
      </c>
      <c r="I50" s="28">
        <v>43758</v>
      </c>
      <c r="J50" s="49">
        <v>24.18</v>
      </c>
      <c r="K50" s="40">
        <v>1897.68</v>
      </c>
      <c r="L50" s="25">
        <v>78.459999999999994</v>
      </c>
      <c r="M50" s="34">
        <v>477860</v>
      </c>
      <c r="N50" s="25" t="s">
        <v>281</v>
      </c>
      <c r="O50" s="24" t="s">
        <v>175</v>
      </c>
      <c r="P50" s="24" t="s">
        <v>175</v>
      </c>
      <c r="Q50" s="34" t="s">
        <v>175</v>
      </c>
      <c r="R50" s="41" t="s">
        <v>175</v>
      </c>
    </row>
    <row r="51" spans="1:18" ht="15.6" x14ac:dyDescent="0.3">
      <c r="A51" s="87">
        <v>44154</v>
      </c>
      <c r="B51" s="17" t="s">
        <v>135</v>
      </c>
      <c r="C51" s="17" t="s">
        <v>136</v>
      </c>
      <c r="D51" s="19" t="s">
        <v>137</v>
      </c>
      <c r="E51" s="32" t="s">
        <v>14</v>
      </c>
      <c r="F51" s="32" t="s">
        <v>19</v>
      </c>
      <c r="G51" s="29" t="s">
        <v>185</v>
      </c>
      <c r="H51" s="29" t="s">
        <v>203</v>
      </c>
      <c r="I51" s="21">
        <v>43794</v>
      </c>
      <c r="J51" s="17">
        <v>31.2</v>
      </c>
      <c r="K51" s="22">
        <v>2505.0500000000002</v>
      </c>
      <c r="L51" s="17">
        <v>80.290000000000006</v>
      </c>
      <c r="M51" s="32">
        <v>488906</v>
      </c>
      <c r="N51" s="19" t="s">
        <v>280</v>
      </c>
      <c r="O51" s="18" t="s">
        <v>175</v>
      </c>
      <c r="P51" s="18" t="s">
        <v>175</v>
      </c>
      <c r="Q51" s="32" t="s">
        <v>175</v>
      </c>
      <c r="R51" s="45" t="s">
        <v>175</v>
      </c>
    </row>
    <row r="52" spans="1:18" ht="34.200000000000003" thickBot="1" x14ac:dyDescent="0.35">
      <c r="A52" s="88"/>
      <c r="B52" s="9" t="s">
        <v>114</v>
      </c>
      <c r="C52" s="9" t="s">
        <v>115</v>
      </c>
      <c r="D52" s="7" t="s">
        <v>116</v>
      </c>
      <c r="E52" s="33" t="s">
        <v>14</v>
      </c>
      <c r="F52" s="33" t="s">
        <v>15</v>
      </c>
      <c r="G52" s="2" t="s">
        <v>185</v>
      </c>
      <c r="H52" s="2" t="s">
        <v>220</v>
      </c>
      <c r="I52" s="15">
        <v>43785</v>
      </c>
      <c r="J52" s="9">
        <v>52</v>
      </c>
      <c r="K52" s="10">
        <v>3701.88</v>
      </c>
      <c r="L52" s="9">
        <v>71.19</v>
      </c>
      <c r="M52" s="33">
        <v>299087</v>
      </c>
      <c r="N52" s="7" t="s">
        <v>281</v>
      </c>
      <c r="O52" s="15">
        <v>43792</v>
      </c>
      <c r="P52" s="6">
        <v>45283</v>
      </c>
      <c r="Q52" s="33" t="s">
        <v>263</v>
      </c>
      <c r="R52" s="36" t="s">
        <v>299</v>
      </c>
    </row>
    <row r="53" spans="1:18" ht="34.200000000000003" thickBot="1" x14ac:dyDescent="0.35">
      <c r="A53" s="88"/>
      <c r="B53" s="9" t="s">
        <v>117</v>
      </c>
      <c r="C53" s="9" t="s">
        <v>118</v>
      </c>
      <c r="D53" s="7" t="s">
        <v>119</v>
      </c>
      <c r="E53" s="33" t="s">
        <v>14</v>
      </c>
      <c r="F53" s="33" t="s">
        <v>19</v>
      </c>
      <c r="G53" s="2" t="s">
        <v>185</v>
      </c>
      <c r="H53" s="2" t="s">
        <v>203</v>
      </c>
      <c r="I53" s="15">
        <v>43795</v>
      </c>
      <c r="J53" s="9">
        <v>30.36</v>
      </c>
      <c r="K53" s="10">
        <v>2167.4</v>
      </c>
      <c r="L53" s="9">
        <v>71.39</v>
      </c>
      <c r="M53" s="33">
        <v>129908</v>
      </c>
      <c r="N53" s="9" t="s">
        <v>280</v>
      </c>
      <c r="O53" s="15">
        <v>43783</v>
      </c>
      <c r="P53" s="6">
        <v>68110</v>
      </c>
      <c r="Q53" s="33" t="s">
        <v>264</v>
      </c>
      <c r="R53" s="36" t="s">
        <v>300</v>
      </c>
    </row>
    <row r="54" spans="1:18" ht="29.4" thickBot="1" x14ac:dyDescent="0.35">
      <c r="A54" s="88"/>
      <c r="B54" s="9" t="s">
        <v>138</v>
      </c>
      <c r="C54" s="9" t="s">
        <v>139</v>
      </c>
      <c r="D54" s="8" t="s">
        <v>140</v>
      </c>
      <c r="E54" s="33" t="s">
        <v>14</v>
      </c>
      <c r="F54" s="33" t="s">
        <v>15</v>
      </c>
      <c r="G54" s="3" t="s">
        <v>224</v>
      </c>
      <c r="H54" s="3" t="s">
        <v>225</v>
      </c>
      <c r="I54" s="15">
        <v>43784</v>
      </c>
      <c r="J54" s="9">
        <v>57.98</v>
      </c>
      <c r="K54" s="10">
        <v>4139.1899999999996</v>
      </c>
      <c r="L54" s="9">
        <v>71.39</v>
      </c>
      <c r="M54" s="33">
        <v>266789</v>
      </c>
      <c r="N54" s="9" t="s">
        <v>279</v>
      </c>
      <c r="O54" s="15">
        <v>43794</v>
      </c>
      <c r="P54" s="6">
        <v>638918</v>
      </c>
      <c r="Q54" s="33" t="s">
        <v>265</v>
      </c>
      <c r="R54" s="36" t="s">
        <v>301</v>
      </c>
    </row>
    <row r="55" spans="1:18" ht="15.6" x14ac:dyDescent="0.3">
      <c r="A55" s="88"/>
      <c r="B55" s="9" t="s">
        <v>129</v>
      </c>
      <c r="C55" s="9" t="s">
        <v>130</v>
      </c>
      <c r="D55" s="8" t="s">
        <v>131</v>
      </c>
      <c r="E55" s="33" t="s">
        <v>14</v>
      </c>
      <c r="F55" s="33" t="s">
        <v>19</v>
      </c>
      <c r="G55" s="1" t="s">
        <v>185</v>
      </c>
      <c r="H55" s="1" t="s">
        <v>203</v>
      </c>
      <c r="I55" s="15">
        <v>43775</v>
      </c>
      <c r="J55" s="9">
        <v>44.03</v>
      </c>
      <c r="K55" s="10">
        <v>3928.59</v>
      </c>
      <c r="L55" s="9">
        <v>89.23</v>
      </c>
      <c r="M55" s="33">
        <v>128876</v>
      </c>
      <c r="N55" s="7" t="s">
        <v>281</v>
      </c>
      <c r="O55" s="8" t="s">
        <v>175</v>
      </c>
      <c r="P55" s="8" t="s">
        <v>175</v>
      </c>
      <c r="Q55" s="8" t="s">
        <v>175</v>
      </c>
      <c r="R55" s="46" t="s">
        <v>175</v>
      </c>
    </row>
    <row r="56" spans="1:18" ht="15.6" x14ac:dyDescent="0.3">
      <c r="A56" s="88"/>
      <c r="B56" s="9" t="s">
        <v>132</v>
      </c>
      <c r="C56" s="9" t="s">
        <v>133</v>
      </c>
      <c r="D56" s="8" t="s">
        <v>134</v>
      </c>
      <c r="E56" s="33" t="s">
        <v>14</v>
      </c>
      <c r="F56" s="33" t="s">
        <v>19</v>
      </c>
      <c r="G56" s="3" t="s">
        <v>187</v>
      </c>
      <c r="H56" s="3" t="s">
        <v>223</v>
      </c>
      <c r="I56" s="15">
        <v>43795</v>
      </c>
      <c r="J56" s="12">
        <v>32.779473267774385</v>
      </c>
      <c r="K56" s="5">
        <v>2900</v>
      </c>
      <c r="L56" s="7">
        <v>88.47</v>
      </c>
      <c r="M56" s="33">
        <v>255670</v>
      </c>
      <c r="N56" s="9" t="s">
        <v>279</v>
      </c>
      <c r="O56" s="8" t="s">
        <v>175</v>
      </c>
      <c r="P56" s="8" t="s">
        <v>175</v>
      </c>
      <c r="Q56" s="8" t="s">
        <v>175</v>
      </c>
      <c r="R56" s="46" t="s">
        <v>175</v>
      </c>
    </row>
    <row r="57" spans="1:18" ht="16.2" thickBot="1" x14ac:dyDescent="0.35">
      <c r="A57" s="89"/>
      <c r="B57" s="23" t="s">
        <v>141</v>
      </c>
      <c r="C57" s="23" t="s">
        <v>142</v>
      </c>
      <c r="D57" s="25" t="s">
        <v>143</v>
      </c>
      <c r="E57" s="33" t="s">
        <v>14</v>
      </c>
      <c r="F57" s="33" t="s">
        <v>19</v>
      </c>
      <c r="G57" s="26" t="s">
        <v>187</v>
      </c>
      <c r="H57" s="27" t="s">
        <v>226</v>
      </c>
      <c r="I57" s="28">
        <v>43780</v>
      </c>
      <c r="J57" s="49">
        <v>23.874402730375426</v>
      </c>
      <c r="K57" s="25">
        <v>2098.56</v>
      </c>
      <c r="L57" s="25">
        <v>87.9</v>
      </c>
      <c r="M57" s="34">
        <v>377657</v>
      </c>
      <c r="N57" s="25" t="s">
        <v>281</v>
      </c>
      <c r="O57" s="24" t="s">
        <v>175</v>
      </c>
      <c r="P57" s="24" t="s">
        <v>175</v>
      </c>
      <c r="Q57" s="24" t="s">
        <v>175</v>
      </c>
      <c r="R57" s="41" t="s">
        <v>175</v>
      </c>
    </row>
    <row r="58" spans="1:18" ht="15.6" x14ac:dyDescent="0.3">
      <c r="A58" s="87">
        <v>44184</v>
      </c>
      <c r="B58" s="17" t="s">
        <v>144</v>
      </c>
      <c r="C58" s="17" t="s">
        <v>145</v>
      </c>
      <c r="D58" s="18" t="s">
        <v>146</v>
      </c>
      <c r="E58" s="32" t="s">
        <v>14</v>
      </c>
      <c r="F58" s="32" t="s">
        <v>19</v>
      </c>
      <c r="G58" s="20" t="s">
        <v>183</v>
      </c>
      <c r="H58" s="50" t="s">
        <v>227</v>
      </c>
      <c r="I58" s="21">
        <v>43805</v>
      </c>
      <c r="J58" s="17">
        <v>50</v>
      </c>
      <c r="K58" s="22">
        <v>3581</v>
      </c>
      <c r="L58" s="17">
        <v>71.62</v>
      </c>
      <c r="M58" s="32">
        <v>400987</v>
      </c>
      <c r="N58" s="19" t="s">
        <v>280</v>
      </c>
      <c r="O58" s="18" t="s">
        <v>175</v>
      </c>
      <c r="P58" s="18" t="s">
        <v>175</v>
      </c>
      <c r="Q58" s="18" t="s">
        <v>175</v>
      </c>
      <c r="R58" s="45" t="s">
        <v>175</v>
      </c>
    </row>
    <row r="59" spans="1:18" ht="28.8" x14ac:dyDescent="0.3">
      <c r="A59" s="88"/>
      <c r="B59" s="9" t="s">
        <v>147</v>
      </c>
      <c r="C59" s="9" t="s">
        <v>148</v>
      </c>
      <c r="D59" s="8" t="s">
        <v>149</v>
      </c>
      <c r="E59" s="33" t="s">
        <v>14</v>
      </c>
      <c r="F59" s="33" t="s">
        <v>19</v>
      </c>
      <c r="G59" s="1" t="s">
        <v>183</v>
      </c>
      <c r="H59" s="1" t="s">
        <v>228</v>
      </c>
      <c r="I59" s="15">
        <v>43826</v>
      </c>
      <c r="J59" s="9">
        <v>38.94</v>
      </c>
      <c r="K59" s="10">
        <v>2821.59</v>
      </c>
      <c r="L59" s="9">
        <v>72.459999999999994</v>
      </c>
      <c r="M59" s="33">
        <v>127768</v>
      </c>
      <c r="N59" s="7" t="s">
        <v>281</v>
      </c>
      <c r="O59" s="8" t="s">
        <v>175</v>
      </c>
      <c r="P59" s="8" t="s">
        <v>175</v>
      </c>
      <c r="Q59" s="8" t="s">
        <v>175</v>
      </c>
      <c r="R59" s="46" t="s">
        <v>175</v>
      </c>
    </row>
    <row r="60" spans="1:18" ht="15.6" x14ac:dyDescent="0.3">
      <c r="A60" s="88"/>
      <c r="B60" s="9" t="s">
        <v>150</v>
      </c>
      <c r="C60" s="9" t="s">
        <v>151</v>
      </c>
      <c r="D60" s="7" t="s">
        <v>152</v>
      </c>
      <c r="E60" s="33" t="s">
        <v>14</v>
      </c>
      <c r="F60" s="33" t="s">
        <v>19</v>
      </c>
      <c r="G60" s="2" t="s">
        <v>229</v>
      </c>
      <c r="H60" s="2" t="s">
        <v>230</v>
      </c>
      <c r="I60" s="15">
        <v>43809</v>
      </c>
      <c r="J60" s="9">
        <v>59</v>
      </c>
      <c r="K60" s="10">
        <v>4968.3900000000003</v>
      </c>
      <c r="L60" s="9">
        <v>84.21</v>
      </c>
      <c r="M60" s="33">
        <v>239900</v>
      </c>
      <c r="N60" s="9" t="s">
        <v>280</v>
      </c>
      <c r="O60" s="8" t="s">
        <v>175</v>
      </c>
      <c r="P60" s="8" t="s">
        <v>175</v>
      </c>
      <c r="Q60" s="8" t="s">
        <v>175</v>
      </c>
      <c r="R60" s="46" t="s">
        <v>175</v>
      </c>
    </row>
    <row r="61" spans="1:18" ht="34.200000000000003" thickBot="1" x14ac:dyDescent="0.35">
      <c r="A61" s="88"/>
      <c r="B61" s="9" t="s">
        <v>26</v>
      </c>
      <c r="C61" s="9" t="s">
        <v>27</v>
      </c>
      <c r="D61" s="8" t="s">
        <v>28</v>
      </c>
      <c r="E61" s="33" t="s">
        <v>14</v>
      </c>
      <c r="F61" s="33" t="s">
        <v>19</v>
      </c>
      <c r="G61" s="1" t="s">
        <v>183</v>
      </c>
      <c r="H61" s="3" t="s">
        <v>184</v>
      </c>
      <c r="I61" s="15">
        <v>43800</v>
      </c>
      <c r="J61" s="9">
        <v>68.010000000000005</v>
      </c>
      <c r="K61" s="10">
        <v>5531.25</v>
      </c>
      <c r="L61" s="9">
        <v>81.33</v>
      </c>
      <c r="M61" s="33">
        <v>127789</v>
      </c>
      <c r="N61" s="9" t="s">
        <v>279</v>
      </c>
      <c r="O61" s="15">
        <v>43800</v>
      </c>
      <c r="P61" s="6">
        <v>72061</v>
      </c>
      <c r="Q61" s="33" t="s">
        <v>266</v>
      </c>
      <c r="R61" s="36" t="s">
        <v>302</v>
      </c>
    </row>
    <row r="62" spans="1:18" ht="51" thickBot="1" x14ac:dyDescent="0.35">
      <c r="A62" s="88"/>
      <c r="B62" s="9" t="s">
        <v>29</v>
      </c>
      <c r="C62" s="9" t="s">
        <v>30</v>
      </c>
      <c r="D62" s="8" t="s">
        <v>31</v>
      </c>
      <c r="E62" s="33" t="s">
        <v>14</v>
      </c>
      <c r="F62" s="33" t="s">
        <v>19</v>
      </c>
      <c r="G62" s="1" t="s">
        <v>185</v>
      </c>
      <c r="H62" s="1" t="s">
        <v>186</v>
      </c>
      <c r="I62" s="15">
        <v>43825</v>
      </c>
      <c r="J62" s="9">
        <v>43</v>
      </c>
      <c r="K62" s="10">
        <v>3115.78</v>
      </c>
      <c r="L62" s="9">
        <v>72.459999999999994</v>
      </c>
      <c r="M62" s="33">
        <v>235567</v>
      </c>
      <c r="N62" s="7" t="s">
        <v>281</v>
      </c>
      <c r="O62" s="15">
        <v>43827</v>
      </c>
      <c r="P62" s="6">
        <v>167265</v>
      </c>
      <c r="Q62" s="33" t="s">
        <v>267</v>
      </c>
      <c r="R62" s="36" t="s">
        <v>303</v>
      </c>
    </row>
    <row r="63" spans="1:18" ht="29.4" thickBot="1" x14ac:dyDescent="0.35">
      <c r="A63" s="88"/>
      <c r="B63" s="9" t="s">
        <v>32</v>
      </c>
      <c r="C63" s="9" t="s">
        <v>33</v>
      </c>
      <c r="D63" s="8" t="s">
        <v>34</v>
      </c>
      <c r="E63" s="33" t="s">
        <v>14</v>
      </c>
      <c r="F63" s="33" t="s">
        <v>19</v>
      </c>
      <c r="G63" s="1" t="s">
        <v>187</v>
      </c>
      <c r="H63" s="3" t="s">
        <v>188</v>
      </c>
      <c r="I63" s="15">
        <v>43821</v>
      </c>
      <c r="J63" s="12">
        <v>27.54</v>
      </c>
      <c r="K63" s="5">
        <v>2224.6</v>
      </c>
      <c r="L63" s="7">
        <v>80.78</v>
      </c>
      <c r="M63" s="33">
        <v>548890</v>
      </c>
      <c r="N63" s="9" t="s">
        <v>279</v>
      </c>
      <c r="O63" s="15">
        <v>43803</v>
      </c>
      <c r="P63" s="6">
        <v>25604</v>
      </c>
      <c r="Q63" s="33" t="s">
        <v>268</v>
      </c>
      <c r="R63" s="36" t="s">
        <v>284</v>
      </c>
    </row>
    <row r="64" spans="1:18" ht="16.2" thickBot="1" x14ac:dyDescent="0.35">
      <c r="A64" s="89"/>
      <c r="B64" s="23" t="s">
        <v>153</v>
      </c>
      <c r="C64" s="23" t="s">
        <v>154</v>
      </c>
      <c r="D64" s="25" t="s">
        <v>155</v>
      </c>
      <c r="E64" s="34" t="s">
        <v>14</v>
      </c>
      <c r="F64" s="34" t="s">
        <v>19</v>
      </c>
      <c r="G64" s="39" t="s">
        <v>185</v>
      </c>
      <c r="H64" s="39" t="s">
        <v>203</v>
      </c>
      <c r="I64" s="28">
        <v>43809</v>
      </c>
      <c r="J64" s="49">
        <v>27.2</v>
      </c>
      <c r="K64" s="40">
        <v>2145.62</v>
      </c>
      <c r="L64" s="25">
        <v>78.89</v>
      </c>
      <c r="M64" s="34">
        <v>439976</v>
      </c>
      <c r="N64" s="25" t="s">
        <v>281</v>
      </c>
      <c r="O64" s="34" t="s">
        <v>175</v>
      </c>
      <c r="P64" s="34" t="s">
        <v>175</v>
      </c>
      <c r="Q64" s="34" t="s">
        <v>175</v>
      </c>
      <c r="R64" s="44" t="s">
        <v>175</v>
      </c>
    </row>
    <row r="65" spans="1:18" ht="17.399999999999999" thickBot="1" x14ac:dyDescent="0.35">
      <c r="A65" s="87">
        <v>43850</v>
      </c>
      <c r="B65" s="17" t="s">
        <v>102</v>
      </c>
      <c r="C65" s="17" t="s">
        <v>103</v>
      </c>
      <c r="D65" s="18" t="s">
        <v>104</v>
      </c>
      <c r="E65" s="67" t="s">
        <v>14</v>
      </c>
      <c r="F65" s="32" t="s">
        <v>19</v>
      </c>
      <c r="G65" s="20" t="s">
        <v>185</v>
      </c>
      <c r="H65" s="20" t="s">
        <v>214</v>
      </c>
      <c r="I65" s="21">
        <v>43843</v>
      </c>
      <c r="J65" s="17">
        <v>52.97</v>
      </c>
      <c r="K65" s="22">
        <v>3841.38</v>
      </c>
      <c r="L65" s="17">
        <v>72.52</v>
      </c>
      <c r="M65" s="32">
        <v>537789</v>
      </c>
      <c r="N65" s="19" t="s">
        <v>283</v>
      </c>
      <c r="O65" s="21">
        <v>43852</v>
      </c>
      <c r="P65" s="42">
        <v>7033</v>
      </c>
      <c r="Q65" s="32" t="s">
        <v>269</v>
      </c>
      <c r="R65" s="43" t="s">
        <v>284</v>
      </c>
    </row>
    <row r="66" spans="1:18" ht="17.399999999999999" thickBot="1" x14ac:dyDescent="0.35">
      <c r="A66" s="88"/>
      <c r="B66" s="9" t="s">
        <v>105</v>
      </c>
      <c r="C66" s="9" t="s">
        <v>106</v>
      </c>
      <c r="D66" s="7" t="s">
        <v>107</v>
      </c>
      <c r="E66" s="51" t="s">
        <v>315</v>
      </c>
      <c r="F66" s="33" t="s">
        <v>19</v>
      </c>
      <c r="G66" s="2" t="s">
        <v>187</v>
      </c>
      <c r="H66" s="2" t="s">
        <v>215</v>
      </c>
      <c r="I66" s="15">
        <v>43845</v>
      </c>
      <c r="J66" s="9">
        <v>49</v>
      </c>
      <c r="K66" s="10">
        <v>3994.97</v>
      </c>
      <c r="L66" s="9">
        <v>81.53</v>
      </c>
      <c r="M66" s="33">
        <v>445567</v>
      </c>
      <c r="N66" s="7" t="s">
        <v>283</v>
      </c>
      <c r="O66" s="15">
        <v>43854</v>
      </c>
      <c r="P66" s="6">
        <v>7033</v>
      </c>
      <c r="Q66" s="33" t="s">
        <v>270</v>
      </c>
      <c r="R66" s="36" t="s">
        <v>284</v>
      </c>
    </row>
    <row r="67" spans="1:18" ht="28.8" x14ac:dyDescent="0.3">
      <c r="A67" s="88"/>
      <c r="B67" s="9" t="s">
        <v>108</v>
      </c>
      <c r="C67" s="9" t="s">
        <v>109</v>
      </c>
      <c r="D67" s="8" t="s">
        <v>110</v>
      </c>
      <c r="E67" s="51" t="s">
        <v>315</v>
      </c>
      <c r="F67" s="33" t="s">
        <v>19</v>
      </c>
      <c r="G67" s="1" t="s">
        <v>216</v>
      </c>
      <c r="H67" s="1" t="s">
        <v>217</v>
      </c>
      <c r="I67" s="15">
        <v>43853</v>
      </c>
      <c r="J67" s="9">
        <v>56.7</v>
      </c>
      <c r="K67" s="10">
        <v>4628.42</v>
      </c>
      <c r="L67" s="9">
        <v>81.63</v>
      </c>
      <c r="M67" s="33">
        <v>340006</v>
      </c>
      <c r="N67" s="7" t="s">
        <v>283</v>
      </c>
      <c r="O67" s="8" t="s">
        <v>175</v>
      </c>
      <c r="P67" s="8" t="s">
        <v>175</v>
      </c>
      <c r="Q67" s="8" t="s">
        <v>175</v>
      </c>
      <c r="R67" s="46" t="s">
        <v>175</v>
      </c>
    </row>
    <row r="68" spans="1:18" ht="15.6" x14ac:dyDescent="0.3">
      <c r="A68" s="88"/>
      <c r="B68" s="9" t="s">
        <v>111</v>
      </c>
      <c r="C68" s="9" t="s">
        <v>112</v>
      </c>
      <c r="D68" s="8" t="s">
        <v>113</v>
      </c>
      <c r="E68" s="51" t="s">
        <v>315</v>
      </c>
      <c r="F68" s="33" t="s">
        <v>19</v>
      </c>
      <c r="G68" s="3" t="s">
        <v>218</v>
      </c>
      <c r="H68" s="3" t="s">
        <v>219</v>
      </c>
      <c r="I68" s="15">
        <v>43840</v>
      </c>
      <c r="J68" s="9">
        <v>74</v>
      </c>
      <c r="K68" s="10">
        <v>6026.56</v>
      </c>
      <c r="L68" s="9">
        <v>81.44</v>
      </c>
      <c r="M68" s="33">
        <v>212100</v>
      </c>
      <c r="N68" s="7" t="s">
        <v>283</v>
      </c>
      <c r="O68" s="8" t="s">
        <v>175</v>
      </c>
      <c r="P68" s="8" t="s">
        <v>175</v>
      </c>
      <c r="Q68" s="8" t="s">
        <v>175</v>
      </c>
      <c r="R68" s="46" t="s">
        <v>175</v>
      </c>
    </row>
    <row r="69" spans="1:18" ht="29.4" thickBot="1" x14ac:dyDescent="0.35">
      <c r="A69" s="88"/>
      <c r="B69" s="9" t="s">
        <v>156</v>
      </c>
      <c r="C69" s="9" t="s">
        <v>157</v>
      </c>
      <c r="D69" s="8" t="s">
        <v>158</v>
      </c>
      <c r="E69" s="51" t="s">
        <v>14</v>
      </c>
      <c r="F69" s="33" t="s">
        <v>19</v>
      </c>
      <c r="G69" s="1" t="s">
        <v>185</v>
      </c>
      <c r="H69" s="1" t="s">
        <v>232</v>
      </c>
      <c r="I69" s="15">
        <v>43836</v>
      </c>
      <c r="J69" s="9">
        <v>57.77</v>
      </c>
      <c r="K69" s="10">
        <v>4179.08</v>
      </c>
      <c r="L69" s="9">
        <v>72.34</v>
      </c>
      <c r="M69" s="33">
        <v>316509</v>
      </c>
      <c r="N69" s="7" t="s">
        <v>283</v>
      </c>
      <c r="O69" s="15">
        <v>43835</v>
      </c>
      <c r="P69" s="6">
        <v>50391</v>
      </c>
      <c r="Q69" s="33" t="s">
        <v>271</v>
      </c>
      <c r="R69" s="36" t="s">
        <v>284</v>
      </c>
    </row>
    <row r="70" spans="1:18" ht="28.8" x14ac:dyDescent="0.3">
      <c r="A70" s="88"/>
      <c r="B70" s="9" t="s">
        <v>159</v>
      </c>
      <c r="C70" s="9" t="s">
        <v>231</v>
      </c>
      <c r="D70" s="7" t="s">
        <v>160</v>
      </c>
      <c r="E70" s="51" t="s">
        <v>315</v>
      </c>
      <c r="F70" s="33" t="s">
        <v>19</v>
      </c>
      <c r="G70" s="2" t="s">
        <v>185</v>
      </c>
      <c r="H70" s="2" t="s">
        <v>233</v>
      </c>
      <c r="I70" s="15">
        <v>43851</v>
      </c>
      <c r="J70" s="12">
        <v>44.83</v>
      </c>
      <c r="K70" s="5">
        <v>3456.09</v>
      </c>
      <c r="L70" s="7">
        <v>77.09</v>
      </c>
      <c r="M70" s="33">
        <v>554908</v>
      </c>
      <c r="N70" s="7" t="s">
        <v>283</v>
      </c>
      <c r="O70" s="8" t="s">
        <v>175</v>
      </c>
      <c r="P70" s="8" t="s">
        <v>175</v>
      </c>
      <c r="Q70" s="8" t="s">
        <v>175</v>
      </c>
      <c r="R70" s="46" t="s">
        <v>175</v>
      </c>
    </row>
    <row r="71" spans="1:18" ht="16.2" thickBot="1" x14ac:dyDescent="0.35">
      <c r="A71" s="89"/>
      <c r="B71" s="23" t="s">
        <v>161</v>
      </c>
      <c r="C71" s="23" t="s">
        <v>162</v>
      </c>
      <c r="D71" s="25" t="s">
        <v>163</v>
      </c>
      <c r="E71" s="68" t="s">
        <v>315</v>
      </c>
      <c r="F71" s="34" t="s">
        <v>19</v>
      </c>
      <c r="G71" s="39" t="s">
        <v>201</v>
      </c>
      <c r="H71" s="39" t="s">
        <v>234</v>
      </c>
      <c r="I71" s="28">
        <v>43832</v>
      </c>
      <c r="J71" s="49">
        <v>47.43</v>
      </c>
      <c r="K71" s="40">
        <v>3678.97</v>
      </c>
      <c r="L71" s="25">
        <v>77.569999999999993</v>
      </c>
      <c r="M71" s="34">
        <v>135907</v>
      </c>
      <c r="N71" s="25" t="s">
        <v>283</v>
      </c>
      <c r="O71" s="24" t="s">
        <v>175</v>
      </c>
      <c r="P71" s="24" t="s">
        <v>175</v>
      </c>
      <c r="Q71" s="24" t="s">
        <v>175</v>
      </c>
      <c r="R71" s="41" t="s">
        <v>175</v>
      </c>
    </row>
    <row r="72" spans="1:18" ht="28.8" x14ac:dyDescent="0.3">
      <c r="A72" s="87">
        <v>43881</v>
      </c>
      <c r="B72" s="17" t="s">
        <v>164</v>
      </c>
      <c r="C72" s="17" t="s">
        <v>165</v>
      </c>
      <c r="D72" s="18" t="s">
        <v>166</v>
      </c>
      <c r="E72" s="65" t="s">
        <v>14</v>
      </c>
      <c r="F72" s="65" t="s">
        <v>15</v>
      </c>
      <c r="G72" s="20" t="s">
        <v>235</v>
      </c>
      <c r="H72" s="20" t="s">
        <v>236</v>
      </c>
      <c r="I72" s="21">
        <v>43886</v>
      </c>
      <c r="J72" s="17">
        <v>48</v>
      </c>
      <c r="K72" s="22">
        <v>3905.76</v>
      </c>
      <c r="L72" s="17">
        <v>81.37</v>
      </c>
      <c r="M72" s="32">
        <v>214309</v>
      </c>
      <c r="N72" s="19" t="s">
        <v>280</v>
      </c>
      <c r="O72" s="18" t="s">
        <v>175</v>
      </c>
      <c r="P72" s="18" t="s">
        <v>175</v>
      </c>
      <c r="Q72" s="18" t="s">
        <v>175</v>
      </c>
      <c r="R72" s="45" t="s">
        <v>175</v>
      </c>
    </row>
    <row r="73" spans="1:18" ht="15.6" x14ac:dyDescent="0.3">
      <c r="A73" s="88"/>
      <c r="B73" s="9" t="s">
        <v>11</v>
      </c>
      <c r="C73" s="9" t="s">
        <v>12</v>
      </c>
      <c r="D73" s="8" t="s">
        <v>13</v>
      </c>
      <c r="E73" s="52" t="s">
        <v>14</v>
      </c>
      <c r="F73" s="52" t="s">
        <v>15</v>
      </c>
      <c r="G73" s="1" t="s">
        <v>176</v>
      </c>
      <c r="H73" s="1" t="s">
        <v>177</v>
      </c>
      <c r="I73" s="15">
        <v>43887</v>
      </c>
      <c r="J73" s="9">
        <v>81.790000000000006</v>
      </c>
      <c r="K73" s="10">
        <v>6890.81</v>
      </c>
      <c r="L73" s="9">
        <v>84.25</v>
      </c>
      <c r="M73" s="33">
        <v>217596</v>
      </c>
      <c r="N73" s="7" t="s">
        <v>281</v>
      </c>
      <c r="O73" s="8" t="s">
        <v>175</v>
      </c>
      <c r="P73" s="8" t="s">
        <v>175</v>
      </c>
      <c r="Q73" s="8" t="s">
        <v>175</v>
      </c>
      <c r="R73" s="46" t="s">
        <v>175</v>
      </c>
    </row>
    <row r="74" spans="1:18" ht="17.399999999999999" thickBot="1" x14ac:dyDescent="0.35">
      <c r="A74" s="88"/>
      <c r="B74" s="9" t="s">
        <v>16</v>
      </c>
      <c r="C74" s="9" t="s">
        <v>17</v>
      </c>
      <c r="D74" s="7" t="s">
        <v>18</v>
      </c>
      <c r="E74" s="52" t="s">
        <v>14</v>
      </c>
      <c r="F74" s="52" t="s">
        <v>19</v>
      </c>
      <c r="G74" s="2" t="s">
        <v>178</v>
      </c>
      <c r="H74" s="2" t="s">
        <v>179</v>
      </c>
      <c r="I74" s="15">
        <v>43870</v>
      </c>
      <c r="J74" s="9">
        <v>51.58</v>
      </c>
      <c r="K74" s="10">
        <v>3716.85</v>
      </c>
      <c r="L74" s="9">
        <v>72.06</v>
      </c>
      <c r="M74" s="33">
        <v>339087</v>
      </c>
      <c r="N74" s="9" t="s">
        <v>280</v>
      </c>
      <c r="O74" s="15">
        <v>43868</v>
      </c>
      <c r="P74" s="6">
        <v>21854</v>
      </c>
      <c r="Q74" s="33" t="s">
        <v>272</v>
      </c>
      <c r="R74" s="36" t="s">
        <v>304</v>
      </c>
    </row>
    <row r="75" spans="1:18" ht="34.200000000000003" thickBot="1" x14ac:dyDescent="0.35">
      <c r="A75" s="88"/>
      <c r="B75" s="9" t="s">
        <v>35</v>
      </c>
      <c r="C75" s="9" t="s">
        <v>36</v>
      </c>
      <c r="D75" s="7" t="s">
        <v>37</v>
      </c>
      <c r="E75" s="52" t="s">
        <v>14</v>
      </c>
      <c r="F75" s="52" t="s">
        <v>19</v>
      </c>
      <c r="G75" s="2" t="s">
        <v>181</v>
      </c>
      <c r="H75" s="2" t="s">
        <v>189</v>
      </c>
      <c r="I75" s="15">
        <v>43884</v>
      </c>
      <c r="J75" s="9">
        <v>33</v>
      </c>
      <c r="K75" s="10">
        <v>2368.08</v>
      </c>
      <c r="L75" s="9">
        <v>71.760000000000005</v>
      </c>
      <c r="M75" s="33">
        <v>454533</v>
      </c>
      <c r="N75" s="9" t="s">
        <v>279</v>
      </c>
      <c r="O75" s="15">
        <v>43873</v>
      </c>
      <c r="P75" s="6">
        <v>4978</v>
      </c>
      <c r="Q75" s="33" t="s">
        <v>273</v>
      </c>
      <c r="R75" s="36" t="s">
        <v>305</v>
      </c>
    </row>
    <row r="76" spans="1:18" ht="28.8" x14ac:dyDescent="0.3">
      <c r="A76" s="88"/>
      <c r="B76" s="9" t="s">
        <v>20</v>
      </c>
      <c r="C76" s="9" t="s">
        <v>21</v>
      </c>
      <c r="D76" s="7" t="s">
        <v>22</v>
      </c>
      <c r="E76" s="52" t="s">
        <v>14</v>
      </c>
      <c r="F76" s="52" t="s">
        <v>19</v>
      </c>
      <c r="G76" s="2" t="s">
        <v>178</v>
      </c>
      <c r="H76" s="2" t="s">
        <v>180</v>
      </c>
      <c r="I76" s="15">
        <v>43890</v>
      </c>
      <c r="J76" s="9">
        <v>63</v>
      </c>
      <c r="K76" s="10">
        <v>5101.74</v>
      </c>
      <c r="L76" s="9">
        <v>80.98</v>
      </c>
      <c r="M76" s="33">
        <v>556400</v>
      </c>
      <c r="N76" s="7" t="s">
        <v>281</v>
      </c>
      <c r="O76" s="8" t="s">
        <v>175</v>
      </c>
      <c r="P76" s="8" t="s">
        <v>175</v>
      </c>
      <c r="Q76" s="33" t="s">
        <v>175</v>
      </c>
      <c r="R76" s="46" t="s">
        <v>175</v>
      </c>
    </row>
    <row r="77" spans="1:18" ht="17.399999999999999" thickBot="1" x14ac:dyDescent="0.35">
      <c r="A77" s="88"/>
      <c r="B77" s="9" t="s">
        <v>38</v>
      </c>
      <c r="C77" s="9" t="s">
        <v>39</v>
      </c>
      <c r="D77" s="7" t="s">
        <v>40</v>
      </c>
      <c r="E77" s="52" t="s">
        <v>14</v>
      </c>
      <c r="F77" s="52" t="s">
        <v>15</v>
      </c>
      <c r="G77" s="2" t="s">
        <v>178</v>
      </c>
      <c r="H77" s="2" t="s">
        <v>190</v>
      </c>
      <c r="I77" s="15">
        <v>43865</v>
      </c>
      <c r="J77" s="12">
        <v>26.85</v>
      </c>
      <c r="K77" s="5">
        <v>2123.89</v>
      </c>
      <c r="L77" s="7">
        <v>79.09</v>
      </c>
      <c r="M77" s="33">
        <v>637889</v>
      </c>
      <c r="N77" s="9" t="s">
        <v>279</v>
      </c>
      <c r="O77" s="15">
        <v>43864</v>
      </c>
      <c r="P77" s="6">
        <v>23128</v>
      </c>
      <c r="Q77" s="33" t="s">
        <v>274</v>
      </c>
      <c r="R77" s="36" t="s">
        <v>284</v>
      </c>
    </row>
    <row r="78" spans="1:18" ht="16.2" thickBot="1" x14ac:dyDescent="0.35">
      <c r="A78" s="89"/>
      <c r="B78" s="23" t="s">
        <v>41</v>
      </c>
      <c r="C78" s="23" t="s">
        <v>42</v>
      </c>
      <c r="D78" s="24" t="s">
        <v>43</v>
      </c>
      <c r="E78" s="66" t="s">
        <v>14</v>
      </c>
      <c r="F78" s="66" t="s">
        <v>15</v>
      </c>
      <c r="G78" s="26" t="s">
        <v>178</v>
      </c>
      <c r="H78" s="26" t="s">
        <v>191</v>
      </c>
      <c r="I78" s="28">
        <v>43876</v>
      </c>
      <c r="J78" s="49">
        <v>15.65</v>
      </c>
      <c r="K78" s="40">
        <v>1234.96</v>
      </c>
      <c r="L78" s="25">
        <v>78.900000000000006</v>
      </c>
      <c r="M78" s="34">
        <v>199780</v>
      </c>
      <c r="N78" s="25" t="s">
        <v>281</v>
      </c>
      <c r="O78" s="24" t="s">
        <v>175</v>
      </c>
      <c r="P78" s="24" t="s">
        <v>175</v>
      </c>
      <c r="Q78" s="34" t="s">
        <v>175</v>
      </c>
      <c r="R78" s="41" t="s">
        <v>175</v>
      </c>
    </row>
    <row r="79" spans="1:18" ht="15.6" x14ac:dyDescent="0.3">
      <c r="A79" s="87">
        <v>43910</v>
      </c>
      <c r="B79" s="17" t="s">
        <v>53</v>
      </c>
      <c r="C79" s="17" t="s">
        <v>54</v>
      </c>
      <c r="D79" s="18" t="s">
        <v>55</v>
      </c>
      <c r="E79" s="32" t="s">
        <v>14</v>
      </c>
      <c r="F79" s="32" t="s">
        <v>19</v>
      </c>
      <c r="G79" s="20" t="s">
        <v>185</v>
      </c>
      <c r="H79" s="20" t="s">
        <v>196</v>
      </c>
      <c r="I79" s="21">
        <v>43919</v>
      </c>
      <c r="J79" s="17">
        <v>53.44</v>
      </c>
      <c r="K79" s="22">
        <v>3807.6</v>
      </c>
      <c r="L79" s="17">
        <v>71.25</v>
      </c>
      <c r="M79" s="32">
        <v>149906</v>
      </c>
      <c r="N79" s="19" t="s">
        <v>280</v>
      </c>
      <c r="O79" s="18" t="s">
        <v>175</v>
      </c>
      <c r="P79" s="18" t="s">
        <v>175</v>
      </c>
      <c r="Q79" s="18" t="s">
        <v>175</v>
      </c>
      <c r="R79" s="45" t="s">
        <v>175</v>
      </c>
    </row>
    <row r="80" spans="1:18" ht="15.6" x14ac:dyDescent="0.3">
      <c r="A80" s="88"/>
      <c r="B80" s="9" t="s">
        <v>167</v>
      </c>
      <c r="C80" s="9" t="s">
        <v>168</v>
      </c>
      <c r="D80" s="7" t="s">
        <v>169</v>
      </c>
      <c r="E80" s="33" t="s">
        <v>14</v>
      </c>
      <c r="F80" s="33" t="s">
        <v>19</v>
      </c>
      <c r="G80" s="2" t="s">
        <v>185</v>
      </c>
      <c r="H80" s="2" t="s">
        <v>238</v>
      </c>
      <c r="I80" s="15">
        <v>43893</v>
      </c>
      <c r="J80" s="9">
        <v>52</v>
      </c>
      <c r="K80" s="10">
        <v>3695.12</v>
      </c>
      <c r="L80" s="9">
        <v>71.06</v>
      </c>
      <c r="M80" s="33">
        <v>247689</v>
      </c>
      <c r="N80" s="7" t="s">
        <v>281</v>
      </c>
      <c r="O80" s="8" t="s">
        <v>175</v>
      </c>
      <c r="P80" s="8" t="s">
        <v>175</v>
      </c>
      <c r="Q80" s="8" t="s">
        <v>175</v>
      </c>
      <c r="R80" s="46" t="s">
        <v>175</v>
      </c>
    </row>
    <row r="81" spans="1:18" ht="34.200000000000003" thickBot="1" x14ac:dyDescent="0.35">
      <c r="A81" s="88"/>
      <c r="B81" s="9" t="s">
        <v>170</v>
      </c>
      <c r="C81" s="9" t="s">
        <v>171</v>
      </c>
      <c r="D81" s="8" t="s">
        <v>172</v>
      </c>
      <c r="E81" s="33" t="s">
        <v>14</v>
      </c>
      <c r="F81" s="33" t="s">
        <v>19</v>
      </c>
      <c r="G81" s="4" t="s">
        <v>210</v>
      </c>
      <c r="H81" s="4" t="s">
        <v>237</v>
      </c>
      <c r="I81" s="15">
        <v>43905</v>
      </c>
      <c r="J81" s="9">
        <v>60</v>
      </c>
      <c r="K81" s="10">
        <v>4828</v>
      </c>
      <c r="L81" s="9">
        <v>80.47</v>
      </c>
      <c r="M81" s="33">
        <v>329905</v>
      </c>
      <c r="N81" s="9" t="s">
        <v>280</v>
      </c>
      <c r="O81" s="15">
        <v>43911</v>
      </c>
      <c r="P81" s="8" t="s">
        <v>173</v>
      </c>
      <c r="Q81" s="33" t="s">
        <v>275</v>
      </c>
      <c r="R81" s="36" t="s">
        <v>306</v>
      </c>
    </row>
    <row r="82" spans="1:18" ht="17.399999999999999" thickBot="1" x14ac:dyDescent="0.35">
      <c r="A82" s="88"/>
      <c r="B82" s="9" t="s">
        <v>62</v>
      </c>
      <c r="C82" s="9" t="s">
        <v>63</v>
      </c>
      <c r="D82" s="8" t="s">
        <v>64</v>
      </c>
      <c r="E82" s="33" t="s">
        <v>14</v>
      </c>
      <c r="F82" s="33" t="s">
        <v>19</v>
      </c>
      <c r="G82" s="1" t="s">
        <v>185</v>
      </c>
      <c r="H82" s="1" t="s">
        <v>198</v>
      </c>
      <c r="I82" s="15">
        <v>43902</v>
      </c>
      <c r="J82" s="9">
        <v>9.3000000000000007</v>
      </c>
      <c r="K82" s="9">
        <v>747.16</v>
      </c>
      <c r="L82" s="9">
        <v>80.34</v>
      </c>
      <c r="M82" s="33">
        <v>240068</v>
      </c>
      <c r="N82" s="9" t="s">
        <v>279</v>
      </c>
      <c r="O82" s="15">
        <v>43899</v>
      </c>
      <c r="P82" s="13">
        <v>230234</v>
      </c>
      <c r="Q82" s="33" t="s">
        <v>276</v>
      </c>
      <c r="R82" s="36" t="s">
        <v>284</v>
      </c>
    </row>
    <row r="83" spans="1:18" ht="15.6" x14ac:dyDescent="0.3">
      <c r="A83" s="88"/>
      <c r="B83" s="9" t="s">
        <v>65</v>
      </c>
      <c r="C83" s="9" t="s">
        <v>66</v>
      </c>
      <c r="D83" s="7" t="s">
        <v>67</v>
      </c>
      <c r="E83" s="33" t="s">
        <v>14</v>
      </c>
      <c r="F83" s="33" t="s">
        <v>15</v>
      </c>
      <c r="G83" s="2" t="s">
        <v>185</v>
      </c>
      <c r="H83" s="2" t="s">
        <v>199</v>
      </c>
      <c r="I83" s="15">
        <v>43903</v>
      </c>
      <c r="J83" s="9">
        <v>48.97</v>
      </c>
      <c r="K83" s="10">
        <v>3805.46</v>
      </c>
      <c r="L83" s="9">
        <v>77.709999999999994</v>
      </c>
      <c r="M83" s="33">
        <v>329905</v>
      </c>
      <c r="N83" s="7" t="s">
        <v>281</v>
      </c>
      <c r="O83" s="8" t="s">
        <v>175</v>
      </c>
      <c r="P83" s="8" t="s">
        <v>175</v>
      </c>
      <c r="Q83" s="8" t="s">
        <v>175</v>
      </c>
      <c r="R83" s="46" t="s">
        <v>175</v>
      </c>
    </row>
    <row r="84" spans="1:18" ht="28.8" x14ac:dyDescent="0.3">
      <c r="A84" s="88"/>
      <c r="B84" s="9" t="s">
        <v>68</v>
      </c>
      <c r="C84" s="9" t="s">
        <v>69</v>
      </c>
      <c r="D84" s="7" t="s">
        <v>70</v>
      </c>
      <c r="E84" s="33" t="s">
        <v>14</v>
      </c>
      <c r="F84" s="33" t="s">
        <v>19</v>
      </c>
      <c r="G84" s="2" t="s">
        <v>183</v>
      </c>
      <c r="H84" s="2" t="s">
        <v>200</v>
      </c>
      <c r="I84" s="15">
        <v>43916</v>
      </c>
      <c r="J84" s="12">
        <v>20.75</v>
      </c>
      <c r="K84" s="5">
        <v>1678.9</v>
      </c>
      <c r="L84" s="7">
        <v>80.89</v>
      </c>
      <c r="M84" s="33">
        <v>657005</v>
      </c>
      <c r="N84" s="9" t="s">
        <v>279</v>
      </c>
      <c r="O84" s="8" t="s">
        <v>175</v>
      </c>
      <c r="P84" s="8" t="s">
        <v>175</v>
      </c>
      <c r="Q84" s="8" t="s">
        <v>175</v>
      </c>
      <c r="R84" s="46" t="s">
        <v>175</v>
      </c>
    </row>
    <row r="85" spans="1:18" ht="16.2" thickBot="1" x14ac:dyDescent="0.35">
      <c r="A85" s="89"/>
      <c r="B85" s="23" t="s">
        <v>144</v>
      </c>
      <c r="C85" s="23" t="s">
        <v>145</v>
      </c>
      <c r="D85" s="24" t="s">
        <v>146</v>
      </c>
      <c r="E85" s="34" t="s">
        <v>14</v>
      </c>
      <c r="F85" s="34" t="s">
        <v>19</v>
      </c>
      <c r="G85" s="26" t="s">
        <v>183</v>
      </c>
      <c r="H85" s="27" t="s">
        <v>227</v>
      </c>
      <c r="I85" s="28">
        <v>43895</v>
      </c>
      <c r="J85" s="49">
        <v>20.7</v>
      </c>
      <c r="K85" s="40">
        <v>1678.34</v>
      </c>
      <c r="L85" s="25">
        <v>81.09</v>
      </c>
      <c r="M85" s="34">
        <v>349905</v>
      </c>
      <c r="N85" s="25" t="s">
        <v>281</v>
      </c>
      <c r="O85" s="24" t="s">
        <v>175</v>
      </c>
      <c r="P85" s="24" t="s">
        <v>175</v>
      </c>
      <c r="Q85" s="24" t="s">
        <v>175</v>
      </c>
      <c r="R85" s="41" t="s">
        <v>175</v>
      </c>
    </row>
    <row r="86" spans="1:18" x14ac:dyDescent="0.3">
      <c r="A86" s="90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</row>
  </sheetData>
  <autoFilter ref="A1:R85" xr:uid="{AE7DFDA9-E429-4822-80C9-FE7F80DD036C}"/>
  <mergeCells count="13">
    <mergeCell ref="A2:A8"/>
    <mergeCell ref="A86:R86"/>
    <mergeCell ref="A79:A85"/>
    <mergeCell ref="A72:A78"/>
    <mergeCell ref="A30:A36"/>
    <mergeCell ref="A23:A29"/>
    <mergeCell ref="A16:A22"/>
    <mergeCell ref="A9:A15"/>
    <mergeCell ref="A65:A71"/>
    <mergeCell ref="A58:A64"/>
    <mergeCell ref="A51:A57"/>
    <mergeCell ref="A44:A50"/>
    <mergeCell ref="A37:A43"/>
  </mergeCells>
  <conditionalFormatting sqref="C5">
    <cfRule type="duplicateValues" dxfId="91" priority="69"/>
  </conditionalFormatting>
  <conditionalFormatting sqref="D5">
    <cfRule type="duplicateValues" dxfId="90" priority="67"/>
  </conditionalFormatting>
  <conditionalFormatting sqref="D5">
    <cfRule type="duplicateValues" dxfId="89" priority="68"/>
  </conditionalFormatting>
  <conditionalFormatting sqref="C2">
    <cfRule type="duplicateValues" dxfId="88" priority="66"/>
  </conditionalFormatting>
  <conditionalFormatting sqref="D2:D3">
    <cfRule type="duplicateValues" dxfId="87" priority="64"/>
  </conditionalFormatting>
  <conditionalFormatting sqref="D2:D3">
    <cfRule type="duplicateValues" dxfId="86" priority="65"/>
  </conditionalFormatting>
  <conditionalFormatting sqref="C4">
    <cfRule type="duplicateValues" dxfId="85" priority="63"/>
  </conditionalFormatting>
  <conditionalFormatting sqref="D4">
    <cfRule type="duplicateValues" dxfId="84" priority="61"/>
  </conditionalFormatting>
  <conditionalFormatting sqref="D4">
    <cfRule type="duplicateValues" dxfId="83" priority="62"/>
  </conditionalFormatting>
  <conditionalFormatting sqref="C6:C8">
    <cfRule type="duplicateValues" dxfId="82" priority="60"/>
  </conditionalFormatting>
  <conditionalFormatting sqref="D6:D8">
    <cfRule type="duplicateValues" dxfId="81" priority="58"/>
  </conditionalFormatting>
  <conditionalFormatting sqref="D6:D8">
    <cfRule type="duplicateValues" dxfId="80" priority="59"/>
  </conditionalFormatting>
  <conditionalFormatting sqref="C9:C15">
    <cfRule type="duplicateValues" dxfId="79" priority="57"/>
  </conditionalFormatting>
  <conditionalFormatting sqref="D9:D15">
    <cfRule type="duplicateValues" dxfId="78" priority="55"/>
  </conditionalFormatting>
  <conditionalFormatting sqref="D9:D15">
    <cfRule type="duplicateValues" dxfId="77" priority="56"/>
  </conditionalFormatting>
  <conditionalFormatting sqref="C17">
    <cfRule type="duplicateValues" dxfId="76" priority="54"/>
  </conditionalFormatting>
  <conditionalFormatting sqref="D17">
    <cfRule type="duplicateValues" dxfId="75" priority="52"/>
  </conditionalFormatting>
  <conditionalFormatting sqref="D17">
    <cfRule type="duplicateValues" dxfId="74" priority="53"/>
  </conditionalFormatting>
  <conditionalFormatting sqref="C18:C21">
    <cfRule type="duplicateValues" dxfId="73" priority="51"/>
  </conditionalFormatting>
  <conditionalFormatting sqref="D18:D21">
    <cfRule type="duplicateValues" dxfId="72" priority="49"/>
  </conditionalFormatting>
  <conditionalFormatting sqref="D18:D21">
    <cfRule type="duplicateValues" dxfId="71" priority="50"/>
  </conditionalFormatting>
  <conditionalFormatting sqref="C16">
    <cfRule type="duplicateValues" dxfId="70" priority="48"/>
  </conditionalFormatting>
  <conditionalFormatting sqref="D16">
    <cfRule type="duplicateValues" dxfId="69" priority="46"/>
  </conditionalFormatting>
  <conditionalFormatting sqref="D16">
    <cfRule type="duplicateValues" dxfId="68" priority="47"/>
  </conditionalFormatting>
  <conditionalFormatting sqref="C22">
    <cfRule type="duplicateValues" dxfId="67" priority="45"/>
  </conditionalFormatting>
  <conditionalFormatting sqref="D22">
    <cfRule type="duplicateValues" dxfId="66" priority="43"/>
  </conditionalFormatting>
  <conditionalFormatting sqref="D22">
    <cfRule type="duplicateValues" dxfId="65" priority="44"/>
  </conditionalFormatting>
  <conditionalFormatting sqref="C29">
    <cfRule type="duplicateValues" dxfId="64" priority="42"/>
  </conditionalFormatting>
  <conditionalFormatting sqref="D29">
    <cfRule type="duplicateValues" dxfId="63" priority="40"/>
  </conditionalFormatting>
  <conditionalFormatting sqref="D29">
    <cfRule type="duplicateValues" dxfId="62" priority="41"/>
  </conditionalFormatting>
  <conditionalFormatting sqref="C23:C28">
    <cfRule type="duplicateValues" dxfId="61" priority="39"/>
  </conditionalFormatting>
  <conditionalFormatting sqref="D23:D28">
    <cfRule type="duplicateValues" dxfId="60" priority="37"/>
  </conditionalFormatting>
  <conditionalFormatting sqref="D23:D28">
    <cfRule type="duplicateValues" dxfId="59" priority="38"/>
  </conditionalFormatting>
  <conditionalFormatting sqref="C30:C36">
    <cfRule type="duplicateValues" dxfId="58" priority="36"/>
  </conditionalFormatting>
  <conditionalFormatting sqref="D30:D36">
    <cfRule type="duplicateValues" dxfId="57" priority="34"/>
  </conditionalFormatting>
  <conditionalFormatting sqref="D30:D36">
    <cfRule type="duplicateValues" dxfId="56" priority="35"/>
  </conditionalFormatting>
  <conditionalFormatting sqref="C37:C43">
    <cfRule type="duplicateValues" dxfId="55" priority="33"/>
  </conditionalFormatting>
  <conditionalFormatting sqref="D37:D43">
    <cfRule type="duplicateValues" dxfId="54" priority="31"/>
  </conditionalFormatting>
  <conditionalFormatting sqref="D37:D43">
    <cfRule type="duplicateValues" dxfId="53" priority="32"/>
  </conditionalFormatting>
  <conditionalFormatting sqref="C44:C50">
    <cfRule type="duplicateValues" dxfId="52" priority="30"/>
  </conditionalFormatting>
  <conditionalFormatting sqref="D44:D50">
    <cfRule type="duplicateValues" dxfId="51" priority="28"/>
  </conditionalFormatting>
  <conditionalFormatting sqref="D44:D50">
    <cfRule type="duplicateValues" dxfId="50" priority="29"/>
  </conditionalFormatting>
  <conditionalFormatting sqref="C54">
    <cfRule type="duplicateValues" dxfId="49" priority="27"/>
  </conditionalFormatting>
  <conditionalFormatting sqref="D54">
    <cfRule type="duplicateValues" dxfId="48" priority="25"/>
  </conditionalFormatting>
  <conditionalFormatting sqref="D54">
    <cfRule type="duplicateValues" dxfId="47" priority="26"/>
  </conditionalFormatting>
  <conditionalFormatting sqref="C51:C53">
    <cfRule type="duplicateValues" dxfId="46" priority="24"/>
  </conditionalFormatting>
  <conditionalFormatting sqref="D51:D53">
    <cfRule type="duplicateValues" dxfId="45" priority="22"/>
  </conditionalFormatting>
  <conditionalFormatting sqref="D51:D53">
    <cfRule type="duplicateValues" dxfId="44" priority="23"/>
  </conditionalFormatting>
  <conditionalFormatting sqref="C55:C57">
    <cfRule type="duplicateValues" dxfId="43" priority="21"/>
  </conditionalFormatting>
  <conditionalFormatting sqref="D55:D57">
    <cfRule type="duplicateValues" dxfId="42" priority="19"/>
  </conditionalFormatting>
  <conditionalFormatting sqref="D55:D57">
    <cfRule type="duplicateValues" dxfId="41" priority="20"/>
  </conditionalFormatting>
  <conditionalFormatting sqref="C58:C64">
    <cfRule type="duplicateValues" dxfId="40" priority="18"/>
  </conditionalFormatting>
  <conditionalFormatting sqref="D58:D64">
    <cfRule type="duplicateValues" dxfId="39" priority="16"/>
  </conditionalFormatting>
  <conditionalFormatting sqref="D58:D64">
    <cfRule type="duplicateValues" dxfId="38" priority="17"/>
  </conditionalFormatting>
  <conditionalFormatting sqref="C65:C71">
    <cfRule type="duplicateValues" dxfId="37" priority="15"/>
  </conditionalFormatting>
  <conditionalFormatting sqref="D65:D71">
    <cfRule type="duplicateValues" dxfId="36" priority="13"/>
  </conditionalFormatting>
  <conditionalFormatting sqref="D65:D71">
    <cfRule type="duplicateValues" dxfId="35" priority="14"/>
  </conditionalFormatting>
  <conditionalFormatting sqref="C75:C78 C72:C73">
    <cfRule type="duplicateValues" dxfId="34" priority="12"/>
  </conditionalFormatting>
  <conditionalFormatting sqref="D72:D78">
    <cfRule type="duplicateValues" dxfId="33" priority="10"/>
  </conditionalFormatting>
  <conditionalFormatting sqref="D72:D78">
    <cfRule type="duplicateValues" dxfId="32" priority="11"/>
  </conditionalFormatting>
  <conditionalFormatting sqref="C81">
    <cfRule type="duplicateValues" dxfId="31" priority="9"/>
  </conditionalFormatting>
  <conditionalFormatting sqref="D81">
    <cfRule type="duplicateValues" dxfId="30" priority="7"/>
  </conditionalFormatting>
  <conditionalFormatting sqref="D81">
    <cfRule type="duplicateValues" dxfId="29" priority="8"/>
  </conditionalFormatting>
  <conditionalFormatting sqref="C79:C80">
    <cfRule type="duplicateValues" dxfId="28" priority="6"/>
  </conditionalFormatting>
  <conditionalFormatting sqref="D79:D80">
    <cfRule type="duplicateValues" dxfId="27" priority="4"/>
  </conditionalFormatting>
  <conditionalFormatting sqref="D79:D80">
    <cfRule type="duplicateValues" dxfId="26" priority="5"/>
  </conditionalFormatting>
  <conditionalFormatting sqref="C82:C85">
    <cfRule type="duplicateValues" dxfId="25" priority="3"/>
  </conditionalFormatting>
  <conditionalFormatting sqref="D82:D85">
    <cfRule type="duplicateValues" dxfId="24" priority="1"/>
  </conditionalFormatting>
  <conditionalFormatting sqref="D82:D85">
    <cfRule type="duplicateValues" dxfId="23" priority="2"/>
  </conditionalFormatting>
  <dataValidations count="2">
    <dataValidation type="list" allowBlank="1" showInputMessage="1" showErrorMessage="1" sqref="F2:F1048576" xr:uid="{9877B4C8-E4BB-489F-AEEA-98E0FD1040DC}">
      <formula1>"PETROL, DIESEL"</formula1>
    </dataValidation>
    <dataValidation type="list" allowBlank="1" showInputMessage="1" showErrorMessage="1" sqref="E2:E1048576" xr:uid="{88855FFC-003D-4C5D-AB53-9F8ACFC0C4F1}">
      <formula1>"MUMBAI, PUNE"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4D3A6-CD9D-4D57-BC3F-6ABD690F9A4F}">
  <dimension ref="B2:E59"/>
  <sheetViews>
    <sheetView workbookViewId="0">
      <selection activeCell="H5" sqref="H5"/>
    </sheetView>
  </sheetViews>
  <sheetFormatPr defaultRowHeight="14.4" x14ac:dyDescent="0.3"/>
  <cols>
    <col min="2" max="2" width="27.88671875" bestFit="1" customWidth="1"/>
    <col min="3" max="3" width="15.5546875" bestFit="1" customWidth="1"/>
    <col min="4" max="4" width="8.77734375" bestFit="1" customWidth="1"/>
    <col min="5" max="5" width="10.77734375" bestFit="1" customWidth="1"/>
    <col min="6" max="6" width="24" bestFit="1" customWidth="1"/>
    <col min="7" max="7" width="20.77734375" bestFit="1" customWidth="1"/>
    <col min="8" max="8" width="28.77734375" bestFit="1" customWidth="1"/>
    <col min="9" max="9" width="14.6640625" bestFit="1" customWidth="1"/>
    <col min="10" max="10" width="18.21875" bestFit="1" customWidth="1"/>
    <col min="11" max="11" width="15" bestFit="1" customWidth="1"/>
    <col min="12" max="12" width="16.88671875" bestFit="1" customWidth="1"/>
    <col min="13" max="13" width="16.77734375" bestFit="1" customWidth="1"/>
    <col min="14" max="14" width="16.6640625" bestFit="1" customWidth="1"/>
    <col min="15" max="15" width="16.109375" bestFit="1" customWidth="1"/>
    <col min="16" max="16" width="17.21875" bestFit="1" customWidth="1"/>
    <col min="17" max="17" width="18.109375" bestFit="1" customWidth="1"/>
    <col min="18" max="18" width="17.44140625" bestFit="1" customWidth="1"/>
    <col min="19" max="19" width="13.21875" bestFit="1" customWidth="1"/>
    <col min="20" max="20" width="11.109375" bestFit="1" customWidth="1"/>
    <col min="21" max="21" width="13.21875" bestFit="1" customWidth="1"/>
    <col min="22" max="22" width="16.6640625" bestFit="1" customWidth="1"/>
    <col min="23" max="23" width="15.6640625" bestFit="1" customWidth="1"/>
    <col min="24" max="24" width="18.21875" bestFit="1" customWidth="1"/>
    <col min="25" max="25" width="14.109375" bestFit="1" customWidth="1"/>
    <col min="26" max="26" width="13.109375" bestFit="1" customWidth="1"/>
    <col min="27" max="27" width="18" bestFit="1" customWidth="1"/>
    <col min="28" max="28" width="19.109375" bestFit="1" customWidth="1"/>
    <col min="29" max="29" width="14" bestFit="1" customWidth="1"/>
    <col min="30" max="30" width="17.21875" bestFit="1" customWidth="1"/>
    <col min="31" max="31" width="16.5546875" bestFit="1" customWidth="1"/>
    <col min="32" max="32" width="14.33203125" bestFit="1" customWidth="1"/>
    <col min="33" max="33" width="18.33203125" bestFit="1" customWidth="1"/>
    <col min="34" max="34" width="14.77734375" bestFit="1" customWidth="1"/>
    <col min="35" max="35" width="12.109375" bestFit="1" customWidth="1"/>
    <col min="36" max="36" width="14.109375" bestFit="1" customWidth="1"/>
    <col min="37" max="37" width="14.5546875" bestFit="1" customWidth="1"/>
    <col min="38" max="38" width="18" bestFit="1" customWidth="1"/>
    <col min="39" max="39" width="23.77734375" bestFit="1" customWidth="1"/>
    <col min="40" max="40" width="21.109375" bestFit="1" customWidth="1"/>
    <col min="41" max="41" width="13.21875" bestFit="1" customWidth="1"/>
    <col min="42" max="42" width="14.88671875" bestFit="1" customWidth="1"/>
    <col min="43" max="43" width="21.77734375" bestFit="1" customWidth="1"/>
    <col min="44" max="44" width="13.44140625" bestFit="1" customWidth="1"/>
    <col min="45" max="45" width="16.21875" bestFit="1" customWidth="1"/>
    <col min="46" max="46" width="16.6640625" bestFit="1" customWidth="1"/>
    <col min="47" max="47" width="16.33203125" bestFit="1" customWidth="1"/>
    <col min="48" max="48" width="20.44140625" bestFit="1" customWidth="1"/>
    <col min="49" max="49" width="15" bestFit="1" customWidth="1"/>
    <col min="50" max="50" width="11.109375" bestFit="1" customWidth="1"/>
    <col min="51" max="51" width="12.33203125" bestFit="1" customWidth="1"/>
    <col min="52" max="52" width="20.6640625" bestFit="1" customWidth="1"/>
    <col min="53" max="53" width="14.77734375" bestFit="1" customWidth="1"/>
    <col min="54" max="54" width="11.33203125" bestFit="1" customWidth="1"/>
    <col min="55" max="55" width="11.21875" bestFit="1" customWidth="1"/>
    <col min="56" max="56" width="10.5546875" bestFit="1" customWidth="1"/>
    <col min="57" max="57" width="13.5546875" bestFit="1" customWidth="1"/>
    <col min="58" max="58" width="10.77734375" bestFit="1" customWidth="1"/>
  </cols>
  <sheetData>
    <row r="2" spans="2:5" x14ac:dyDescent="0.3">
      <c r="B2" s="62" t="s">
        <v>6</v>
      </c>
      <c r="C2" t="s">
        <v>312</v>
      </c>
    </row>
    <row r="4" spans="2:5" x14ac:dyDescent="0.3">
      <c r="B4" s="62" t="s">
        <v>313</v>
      </c>
      <c r="C4" s="62" t="s">
        <v>311</v>
      </c>
    </row>
    <row r="5" spans="2:5" x14ac:dyDescent="0.3">
      <c r="B5" s="62" t="s">
        <v>308</v>
      </c>
      <c r="C5" t="s">
        <v>74</v>
      </c>
      <c r="D5" t="s">
        <v>14</v>
      </c>
      <c r="E5" t="s">
        <v>309</v>
      </c>
    </row>
    <row r="6" spans="2:5" x14ac:dyDescent="0.3">
      <c r="B6" s="63" t="s">
        <v>33</v>
      </c>
      <c r="C6" s="64"/>
      <c r="D6" s="64">
        <v>2</v>
      </c>
      <c r="E6" s="64">
        <v>2</v>
      </c>
    </row>
    <row r="7" spans="2:5" x14ac:dyDescent="0.3">
      <c r="B7" s="63" t="s">
        <v>85</v>
      </c>
      <c r="C7" s="64"/>
      <c r="D7" s="64">
        <v>1</v>
      </c>
      <c r="E7" s="64">
        <v>1</v>
      </c>
    </row>
    <row r="8" spans="2:5" x14ac:dyDescent="0.3">
      <c r="B8" s="63" t="s">
        <v>30</v>
      </c>
      <c r="C8" s="64"/>
      <c r="D8" s="64">
        <v>2</v>
      </c>
      <c r="E8" s="64">
        <v>2</v>
      </c>
    </row>
    <row r="9" spans="2:5" x14ac:dyDescent="0.3">
      <c r="B9" s="63" t="s">
        <v>118</v>
      </c>
      <c r="C9" s="64"/>
      <c r="D9" s="64">
        <v>2</v>
      </c>
      <c r="E9" s="64">
        <v>2</v>
      </c>
    </row>
    <row r="10" spans="2:5" x14ac:dyDescent="0.3">
      <c r="B10" s="63" t="s">
        <v>165</v>
      </c>
      <c r="C10" s="64"/>
      <c r="D10" s="64">
        <v>1</v>
      </c>
      <c r="E10" s="64">
        <v>1</v>
      </c>
    </row>
    <row r="11" spans="2:5" x14ac:dyDescent="0.3">
      <c r="B11" s="63" t="s">
        <v>79</v>
      </c>
      <c r="C11" s="64"/>
      <c r="D11" s="64">
        <v>1</v>
      </c>
      <c r="E11" s="64">
        <v>1</v>
      </c>
    </row>
    <row r="12" spans="2:5" x14ac:dyDescent="0.3">
      <c r="B12" s="63" t="s">
        <v>45</v>
      </c>
      <c r="C12" s="64"/>
      <c r="D12" s="64">
        <v>2</v>
      </c>
      <c r="E12" s="64">
        <v>2</v>
      </c>
    </row>
    <row r="13" spans="2:5" x14ac:dyDescent="0.3">
      <c r="B13" s="63" t="s">
        <v>66</v>
      </c>
      <c r="C13" s="64"/>
      <c r="D13" s="64">
        <v>2</v>
      </c>
      <c r="E13" s="64">
        <v>2</v>
      </c>
    </row>
    <row r="14" spans="2:5" x14ac:dyDescent="0.3">
      <c r="B14" s="63" t="s">
        <v>142</v>
      </c>
      <c r="C14" s="64"/>
      <c r="D14" s="64">
        <v>1</v>
      </c>
      <c r="E14" s="64">
        <v>1</v>
      </c>
    </row>
    <row r="15" spans="2:5" x14ac:dyDescent="0.3">
      <c r="B15" s="63" t="s">
        <v>94</v>
      </c>
      <c r="C15" s="64"/>
      <c r="D15" s="64">
        <v>1</v>
      </c>
      <c r="E15" s="64">
        <v>1</v>
      </c>
    </row>
    <row r="16" spans="2:5" x14ac:dyDescent="0.3">
      <c r="B16" s="63" t="s">
        <v>139</v>
      </c>
      <c r="C16" s="64"/>
      <c r="D16" s="64">
        <v>1</v>
      </c>
      <c r="E16" s="64">
        <v>1</v>
      </c>
    </row>
    <row r="17" spans="2:5" x14ac:dyDescent="0.3">
      <c r="B17" s="63" t="s">
        <v>127</v>
      </c>
      <c r="C17" s="64"/>
      <c r="D17" s="64">
        <v>1</v>
      </c>
      <c r="E17" s="64">
        <v>1</v>
      </c>
    </row>
    <row r="18" spans="2:5" x14ac:dyDescent="0.3">
      <c r="B18" s="63" t="s">
        <v>27</v>
      </c>
      <c r="C18" s="64"/>
      <c r="D18" s="64">
        <v>2</v>
      </c>
      <c r="E18" s="64">
        <v>2</v>
      </c>
    </row>
    <row r="19" spans="2:5" x14ac:dyDescent="0.3">
      <c r="B19" s="63" t="s">
        <v>72</v>
      </c>
      <c r="C19" s="64">
        <v>2</v>
      </c>
      <c r="D19" s="64"/>
      <c r="E19" s="64">
        <v>2</v>
      </c>
    </row>
    <row r="20" spans="2:5" x14ac:dyDescent="0.3">
      <c r="B20" s="63" t="s">
        <v>124</v>
      </c>
      <c r="C20" s="64"/>
      <c r="D20" s="64">
        <v>1</v>
      </c>
      <c r="E20" s="64">
        <v>1</v>
      </c>
    </row>
    <row r="21" spans="2:5" x14ac:dyDescent="0.3">
      <c r="B21" s="63" t="s">
        <v>130</v>
      </c>
      <c r="C21" s="64"/>
      <c r="D21" s="64">
        <v>2</v>
      </c>
      <c r="E21" s="64">
        <v>2</v>
      </c>
    </row>
    <row r="22" spans="2:5" x14ac:dyDescent="0.3">
      <c r="B22" s="63" t="s">
        <v>88</v>
      </c>
      <c r="C22" s="64"/>
      <c r="D22" s="64">
        <v>1</v>
      </c>
      <c r="E22" s="64">
        <v>1</v>
      </c>
    </row>
    <row r="23" spans="2:5" x14ac:dyDescent="0.3">
      <c r="B23" s="63" t="s">
        <v>36</v>
      </c>
      <c r="C23" s="64"/>
      <c r="D23" s="64">
        <v>2</v>
      </c>
      <c r="E23" s="64">
        <v>2</v>
      </c>
    </row>
    <row r="24" spans="2:5" x14ac:dyDescent="0.3">
      <c r="B24" s="63" t="s">
        <v>17</v>
      </c>
      <c r="C24" s="64"/>
      <c r="D24" s="64">
        <v>2</v>
      </c>
      <c r="E24" s="64">
        <v>2</v>
      </c>
    </row>
    <row r="25" spans="2:5" x14ac:dyDescent="0.3">
      <c r="B25" s="63" t="s">
        <v>97</v>
      </c>
      <c r="C25" s="64">
        <v>1</v>
      </c>
      <c r="D25" s="64"/>
      <c r="E25" s="64">
        <v>1</v>
      </c>
    </row>
    <row r="26" spans="2:5" x14ac:dyDescent="0.3">
      <c r="B26" s="63" t="s">
        <v>60</v>
      </c>
      <c r="C26" s="64"/>
      <c r="D26" s="64">
        <v>1</v>
      </c>
      <c r="E26" s="64">
        <v>1</v>
      </c>
    </row>
    <row r="27" spans="2:5" x14ac:dyDescent="0.3">
      <c r="B27" s="63" t="s">
        <v>100</v>
      </c>
      <c r="C27" s="64"/>
      <c r="D27" s="64">
        <v>1</v>
      </c>
      <c r="E27" s="64">
        <v>1</v>
      </c>
    </row>
    <row r="28" spans="2:5" x14ac:dyDescent="0.3">
      <c r="B28" s="63" t="s">
        <v>106</v>
      </c>
      <c r="C28" s="64">
        <v>2</v>
      </c>
      <c r="D28" s="64"/>
      <c r="E28" s="64">
        <v>2</v>
      </c>
    </row>
    <row r="29" spans="2:5" x14ac:dyDescent="0.3">
      <c r="B29" s="63" t="s">
        <v>231</v>
      </c>
      <c r="C29" s="64">
        <v>1</v>
      </c>
      <c r="D29" s="64"/>
      <c r="E29" s="64">
        <v>1</v>
      </c>
    </row>
    <row r="30" spans="2:5" x14ac:dyDescent="0.3">
      <c r="B30" s="63" t="s">
        <v>57</v>
      </c>
      <c r="C30" s="64"/>
      <c r="D30" s="64">
        <v>1</v>
      </c>
      <c r="E30" s="64">
        <v>1</v>
      </c>
    </row>
    <row r="31" spans="2:5" x14ac:dyDescent="0.3">
      <c r="B31" s="63" t="s">
        <v>171</v>
      </c>
      <c r="C31" s="64"/>
      <c r="D31" s="64">
        <v>1</v>
      </c>
      <c r="E31" s="64">
        <v>1</v>
      </c>
    </row>
    <row r="32" spans="2:5" x14ac:dyDescent="0.3">
      <c r="B32" s="63" t="s">
        <v>42</v>
      </c>
      <c r="C32" s="64"/>
      <c r="D32" s="64">
        <v>3</v>
      </c>
      <c r="E32" s="64">
        <v>3</v>
      </c>
    </row>
    <row r="33" spans="2:5" x14ac:dyDescent="0.3">
      <c r="B33" s="63" t="s">
        <v>133</v>
      </c>
      <c r="C33" s="64"/>
      <c r="D33" s="64">
        <v>2</v>
      </c>
      <c r="E33" s="64">
        <v>2</v>
      </c>
    </row>
    <row r="34" spans="2:5" x14ac:dyDescent="0.3">
      <c r="B34" s="63" t="s">
        <v>24</v>
      </c>
      <c r="C34" s="64"/>
      <c r="D34" s="64">
        <v>1</v>
      </c>
      <c r="E34" s="64">
        <v>1</v>
      </c>
    </row>
    <row r="35" spans="2:5" x14ac:dyDescent="0.3">
      <c r="B35" s="63" t="s">
        <v>109</v>
      </c>
      <c r="C35" s="64">
        <v>2</v>
      </c>
      <c r="D35" s="64"/>
      <c r="E35" s="64">
        <v>2</v>
      </c>
    </row>
    <row r="36" spans="2:5" x14ac:dyDescent="0.3">
      <c r="B36" s="63" t="s">
        <v>151</v>
      </c>
      <c r="C36" s="64"/>
      <c r="D36" s="64">
        <v>1</v>
      </c>
      <c r="E36" s="64">
        <v>1</v>
      </c>
    </row>
    <row r="37" spans="2:5" x14ac:dyDescent="0.3">
      <c r="B37" s="63" t="s">
        <v>148</v>
      </c>
      <c r="C37" s="64"/>
      <c r="D37" s="64">
        <v>1</v>
      </c>
      <c r="E37" s="64">
        <v>1</v>
      </c>
    </row>
    <row r="38" spans="2:5" x14ac:dyDescent="0.3">
      <c r="B38" s="63" t="s">
        <v>121</v>
      </c>
      <c r="C38" s="64"/>
      <c r="D38" s="64">
        <v>1</v>
      </c>
      <c r="E38" s="64">
        <v>1</v>
      </c>
    </row>
    <row r="39" spans="2:5" x14ac:dyDescent="0.3">
      <c r="B39" s="63" t="s">
        <v>51</v>
      </c>
      <c r="C39" s="64"/>
      <c r="D39" s="64">
        <v>2</v>
      </c>
      <c r="E39" s="64">
        <v>2</v>
      </c>
    </row>
    <row r="40" spans="2:5" x14ac:dyDescent="0.3">
      <c r="B40" s="63" t="s">
        <v>54</v>
      </c>
      <c r="C40" s="64"/>
      <c r="D40" s="64">
        <v>3</v>
      </c>
      <c r="E40" s="64">
        <v>3</v>
      </c>
    </row>
    <row r="41" spans="2:5" x14ac:dyDescent="0.3">
      <c r="B41" s="63" t="s">
        <v>39</v>
      </c>
      <c r="C41" s="64"/>
      <c r="D41" s="64">
        <v>3</v>
      </c>
      <c r="E41" s="64">
        <v>3</v>
      </c>
    </row>
    <row r="42" spans="2:5" x14ac:dyDescent="0.3">
      <c r="B42" s="63" t="s">
        <v>112</v>
      </c>
      <c r="C42" s="64">
        <v>2</v>
      </c>
      <c r="D42" s="64"/>
      <c r="E42" s="64">
        <v>2</v>
      </c>
    </row>
    <row r="43" spans="2:5" x14ac:dyDescent="0.3">
      <c r="B43" s="63" t="s">
        <v>69</v>
      </c>
      <c r="C43" s="64"/>
      <c r="D43" s="64">
        <v>2</v>
      </c>
      <c r="E43" s="64">
        <v>2</v>
      </c>
    </row>
    <row r="44" spans="2:5" x14ac:dyDescent="0.3">
      <c r="B44" s="63" t="s">
        <v>145</v>
      </c>
      <c r="C44" s="64"/>
      <c r="D44" s="64">
        <v>2</v>
      </c>
      <c r="E44" s="64">
        <v>2</v>
      </c>
    </row>
    <row r="45" spans="2:5" x14ac:dyDescent="0.3">
      <c r="B45" s="63" t="s">
        <v>162</v>
      </c>
      <c r="C45" s="64">
        <v>1</v>
      </c>
      <c r="D45" s="64"/>
      <c r="E45" s="64">
        <v>1</v>
      </c>
    </row>
    <row r="46" spans="2:5" x14ac:dyDescent="0.3">
      <c r="B46" s="63" t="s">
        <v>157</v>
      </c>
      <c r="C46" s="64"/>
      <c r="D46" s="64">
        <v>1</v>
      </c>
      <c r="E46" s="64">
        <v>1</v>
      </c>
    </row>
    <row r="47" spans="2:5" x14ac:dyDescent="0.3">
      <c r="B47" s="63" t="s">
        <v>48</v>
      </c>
      <c r="C47" s="64"/>
      <c r="D47" s="64">
        <v>2</v>
      </c>
      <c r="E47" s="64">
        <v>2</v>
      </c>
    </row>
    <row r="48" spans="2:5" x14ac:dyDescent="0.3">
      <c r="B48" s="63" t="s">
        <v>82</v>
      </c>
      <c r="C48" s="64"/>
      <c r="D48" s="64">
        <v>1</v>
      </c>
      <c r="E48" s="64">
        <v>1</v>
      </c>
    </row>
    <row r="49" spans="2:5" x14ac:dyDescent="0.3">
      <c r="B49" s="63" t="s">
        <v>91</v>
      </c>
      <c r="C49" s="64"/>
      <c r="D49" s="64">
        <v>1</v>
      </c>
      <c r="E49" s="64">
        <v>1</v>
      </c>
    </row>
    <row r="50" spans="2:5" x14ac:dyDescent="0.3">
      <c r="B50" s="63" t="s">
        <v>154</v>
      </c>
      <c r="C50" s="64"/>
      <c r="D50" s="64">
        <v>1</v>
      </c>
      <c r="E50" s="64">
        <v>1</v>
      </c>
    </row>
    <row r="51" spans="2:5" x14ac:dyDescent="0.3">
      <c r="B51" s="63" t="s">
        <v>136</v>
      </c>
      <c r="C51" s="64"/>
      <c r="D51" s="64">
        <v>1</v>
      </c>
      <c r="E51" s="64">
        <v>1</v>
      </c>
    </row>
    <row r="52" spans="2:5" x14ac:dyDescent="0.3">
      <c r="B52" s="63" t="s">
        <v>63</v>
      </c>
      <c r="C52" s="64"/>
      <c r="D52" s="64">
        <v>2</v>
      </c>
      <c r="E52" s="64">
        <v>2</v>
      </c>
    </row>
    <row r="53" spans="2:5" x14ac:dyDescent="0.3">
      <c r="B53" s="63" t="s">
        <v>21</v>
      </c>
      <c r="C53" s="64"/>
      <c r="D53" s="64">
        <v>4</v>
      </c>
      <c r="E53" s="64">
        <v>4</v>
      </c>
    </row>
    <row r="54" spans="2:5" x14ac:dyDescent="0.3">
      <c r="B54" s="63" t="s">
        <v>103</v>
      </c>
      <c r="C54" s="64"/>
      <c r="D54" s="64">
        <v>2</v>
      </c>
      <c r="E54" s="64">
        <v>2</v>
      </c>
    </row>
    <row r="55" spans="2:5" x14ac:dyDescent="0.3">
      <c r="B55" s="63" t="s">
        <v>168</v>
      </c>
      <c r="C55" s="64"/>
      <c r="D55" s="64">
        <v>1</v>
      </c>
      <c r="E55" s="64">
        <v>1</v>
      </c>
    </row>
    <row r="56" spans="2:5" x14ac:dyDescent="0.3">
      <c r="B56" s="63" t="s">
        <v>115</v>
      </c>
      <c r="C56" s="64"/>
      <c r="D56" s="64">
        <v>2</v>
      </c>
      <c r="E56" s="64">
        <v>2</v>
      </c>
    </row>
    <row r="57" spans="2:5" x14ac:dyDescent="0.3">
      <c r="B57" s="63" t="s">
        <v>12</v>
      </c>
      <c r="C57" s="64"/>
      <c r="D57" s="64">
        <v>2</v>
      </c>
      <c r="E57" s="64">
        <v>2</v>
      </c>
    </row>
    <row r="58" spans="2:5" x14ac:dyDescent="0.3">
      <c r="B58" s="63" t="s">
        <v>76</v>
      </c>
      <c r="C58" s="64">
        <v>1</v>
      </c>
      <c r="D58" s="64"/>
      <c r="E58" s="64">
        <v>1</v>
      </c>
    </row>
    <row r="59" spans="2:5" x14ac:dyDescent="0.3">
      <c r="B59" s="63" t="s">
        <v>309</v>
      </c>
      <c r="C59" s="64">
        <v>12</v>
      </c>
      <c r="D59" s="64">
        <v>72</v>
      </c>
      <c r="E59" s="64">
        <v>84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6079A-BA46-471C-AB7B-8D3DE6739777}">
  <dimension ref="A3:D7"/>
  <sheetViews>
    <sheetView workbookViewId="0">
      <selection activeCell="I26" sqref="I26"/>
    </sheetView>
  </sheetViews>
  <sheetFormatPr defaultRowHeight="14.4" x14ac:dyDescent="0.3"/>
  <cols>
    <col min="1" max="1" width="21.33203125" bestFit="1" customWidth="1"/>
    <col min="2" max="2" width="15.5546875" bestFit="1" customWidth="1"/>
    <col min="3" max="3" width="7.44140625" bestFit="1" customWidth="1"/>
    <col min="4" max="4" width="10.77734375" bestFit="1" customWidth="1"/>
  </cols>
  <sheetData>
    <row r="3" spans="1:4" x14ac:dyDescent="0.3">
      <c r="A3" s="62" t="s">
        <v>310</v>
      </c>
      <c r="B3" s="62" t="s">
        <v>311</v>
      </c>
    </row>
    <row r="4" spans="1:4" x14ac:dyDescent="0.3">
      <c r="A4" s="62" t="s">
        <v>308</v>
      </c>
      <c r="B4" t="s">
        <v>15</v>
      </c>
      <c r="C4" t="s">
        <v>19</v>
      </c>
      <c r="D4" t="s">
        <v>309</v>
      </c>
    </row>
    <row r="5" spans="1:4" x14ac:dyDescent="0.3">
      <c r="A5" s="63" t="s">
        <v>74</v>
      </c>
      <c r="B5" s="64"/>
      <c r="C5" s="64">
        <v>12</v>
      </c>
      <c r="D5" s="64">
        <v>12</v>
      </c>
    </row>
    <row r="6" spans="1:4" x14ac:dyDescent="0.3">
      <c r="A6" s="63" t="s">
        <v>14</v>
      </c>
      <c r="B6" s="64">
        <v>18</v>
      </c>
      <c r="C6" s="64">
        <v>54</v>
      </c>
      <c r="D6" s="64">
        <v>72</v>
      </c>
    </row>
    <row r="7" spans="1:4" x14ac:dyDescent="0.3">
      <c r="A7" s="63" t="s">
        <v>309</v>
      </c>
      <c r="B7" s="64">
        <v>18</v>
      </c>
      <c r="C7" s="64">
        <v>66</v>
      </c>
      <c r="D7" s="64">
        <v>84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0B0CA-55A9-4E77-B36A-59A9090E43D1}">
  <dimension ref="A1:K87"/>
  <sheetViews>
    <sheetView workbookViewId="0">
      <selection activeCell="D19" sqref="D19"/>
    </sheetView>
  </sheetViews>
  <sheetFormatPr defaultRowHeight="14.4" x14ac:dyDescent="0.3"/>
  <cols>
    <col min="2" max="2" width="17.88671875" style="11" customWidth="1"/>
    <col min="3" max="3" width="11.44140625" style="11" customWidth="1"/>
    <col min="4" max="4" width="22" style="14" customWidth="1"/>
    <col min="5" max="5" width="15.5546875" style="11" bestFit="1" customWidth="1"/>
    <col min="9" max="9" width="12.5546875" bestFit="1" customWidth="1"/>
    <col min="10" max="10" width="18" bestFit="1" customWidth="1"/>
    <col min="11" max="11" width="25.109375" bestFit="1" customWidth="1"/>
  </cols>
  <sheetData>
    <row r="1" spans="1:11" ht="15" thickBot="1" x14ac:dyDescent="0.35"/>
    <row r="2" spans="1:11" ht="15" thickBot="1" x14ac:dyDescent="0.35">
      <c r="A2" s="78" t="s">
        <v>314</v>
      </c>
      <c r="B2" s="79" t="s">
        <v>3</v>
      </c>
      <c r="C2" s="79" t="s">
        <v>240</v>
      </c>
      <c r="D2" s="79" t="s">
        <v>242</v>
      </c>
      <c r="E2" s="80" t="s">
        <v>5</v>
      </c>
    </row>
    <row r="3" spans="1:11" x14ac:dyDescent="0.3">
      <c r="A3" s="81" t="str">
        <f>TEXT(B3,"MMM")&amp;"-"&amp;TEXT(B3,"YY")</f>
        <v>Apr-19</v>
      </c>
      <c r="B3" s="21">
        <v>43569</v>
      </c>
      <c r="C3" s="22">
        <v>2528.9899999999998</v>
      </c>
      <c r="D3" s="18"/>
      <c r="E3" s="82" t="s">
        <v>12</v>
      </c>
    </row>
    <row r="4" spans="1:11" x14ac:dyDescent="0.3">
      <c r="A4" s="81" t="str">
        <f t="shared" ref="A4:A67" si="0">TEXT(B4,"MMM")&amp;"-"&amp;TEXT(B4,"YY")</f>
        <v>Apr-19</v>
      </c>
      <c r="B4" s="15">
        <v>43559</v>
      </c>
      <c r="C4" s="10">
        <v>3767.29</v>
      </c>
      <c r="D4" s="8"/>
      <c r="E4" s="83" t="s">
        <v>17</v>
      </c>
    </row>
    <row r="5" spans="1:11" ht="28.8" x14ac:dyDescent="0.3">
      <c r="A5" s="81" t="str">
        <f t="shared" si="0"/>
        <v>Apr-19</v>
      </c>
      <c r="B5" s="15">
        <v>43569</v>
      </c>
      <c r="C5" s="10">
        <v>4195.29</v>
      </c>
      <c r="D5" s="8"/>
      <c r="E5" s="83" t="s">
        <v>21</v>
      </c>
    </row>
    <row r="6" spans="1:11" x14ac:dyDescent="0.3">
      <c r="A6" s="81" t="str">
        <f t="shared" si="0"/>
        <v>Apr-19</v>
      </c>
      <c r="B6" s="15">
        <v>43585</v>
      </c>
      <c r="C6" s="10">
        <v>3255.84</v>
      </c>
      <c r="D6" s="6">
        <v>418806</v>
      </c>
      <c r="E6" s="83" t="s">
        <v>24</v>
      </c>
    </row>
    <row r="7" spans="1:11" ht="28.8" x14ac:dyDescent="0.3">
      <c r="A7" s="81" t="str">
        <f t="shared" si="0"/>
        <v>Apr-19</v>
      </c>
      <c r="B7" s="15">
        <v>43558</v>
      </c>
      <c r="C7" s="10">
        <v>3434.78</v>
      </c>
      <c r="D7" s="6">
        <v>102114</v>
      </c>
      <c r="E7" s="83" t="s">
        <v>27</v>
      </c>
    </row>
    <row r="8" spans="1:11" ht="28.8" x14ac:dyDescent="0.3">
      <c r="A8" s="81" t="str">
        <f t="shared" si="0"/>
        <v>Apr-19</v>
      </c>
      <c r="B8" s="15">
        <v>43579</v>
      </c>
      <c r="C8" s="5">
        <v>1022.78</v>
      </c>
      <c r="D8" s="6">
        <v>104122</v>
      </c>
      <c r="E8" s="83" t="s">
        <v>30</v>
      </c>
      <c r="I8" s="53"/>
      <c r="J8" s="54"/>
      <c r="K8" s="55"/>
    </row>
    <row r="9" spans="1:11" ht="29.4" thickBot="1" x14ac:dyDescent="0.35">
      <c r="A9" s="84" t="str">
        <f t="shared" si="0"/>
        <v>Apr-19</v>
      </c>
      <c r="B9" s="28">
        <v>43565</v>
      </c>
      <c r="C9" s="25" t="s">
        <v>174</v>
      </c>
      <c r="D9" s="24"/>
      <c r="E9" s="85" t="s">
        <v>33</v>
      </c>
      <c r="I9" s="56"/>
      <c r="J9" s="57"/>
      <c r="K9" s="58"/>
    </row>
    <row r="10" spans="1:11" ht="28.8" x14ac:dyDescent="0.3">
      <c r="A10" s="86" t="str">
        <f t="shared" si="0"/>
        <v>May-19</v>
      </c>
      <c r="B10" s="21">
        <v>43601</v>
      </c>
      <c r="C10" s="22">
        <v>2742.65</v>
      </c>
      <c r="D10" s="18"/>
      <c r="E10" s="82" t="s">
        <v>36</v>
      </c>
      <c r="I10" s="56"/>
      <c r="J10" s="57"/>
      <c r="K10" s="58"/>
    </row>
    <row r="11" spans="1:11" ht="28.8" x14ac:dyDescent="0.3">
      <c r="A11" s="81" t="str">
        <f t="shared" si="0"/>
        <v>May-19</v>
      </c>
      <c r="B11" s="15">
        <v>43607</v>
      </c>
      <c r="C11" s="10">
        <v>2371.9499999999998</v>
      </c>
      <c r="D11" s="8"/>
      <c r="E11" s="83" t="s">
        <v>21</v>
      </c>
      <c r="I11" s="56"/>
      <c r="J11" s="57"/>
      <c r="K11" s="58"/>
    </row>
    <row r="12" spans="1:11" x14ac:dyDescent="0.3">
      <c r="A12" s="81" t="str">
        <f t="shared" si="0"/>
        <v>May-19</v>
      </c>
      <c r="B12" s="15">
        <v>43600</v>
      </c>
      <c r="C12" s="10">
        <v>3372.24</v>
      </c>
      <c r="D12" s="8"/>
      <c r="E12" s="83" t="s">
        <v>39</v>
      </c>
      <c r="I12" s="56"/>
      <c r="J12" s="57"/>
      <c r="K12" s="58"/>
    </row>
    <row r="13" spans="1:11" x14ac:dyDescent="0.3">
      <c r="A13" s="81" t="str">
        <f t="shared" si="0"/>
        <v>May-19</v>
      </c>
      <c r="B13" s="15">
        <v>43604</v>
      </c>
      <c r="C13" s="10">
        <v>3409.51</v>
      </c>
      <c r="D13" s="6">
        <v>64370</v>
      </c>
      <c r="E13" s="83" t="s">
        <v>42</v>
      </c>
      <c r="I13" s="56"/>
      <c r="J13" s="57"/>
      <c r="K13" s="58"/>
    </row>
    <row r="14" spans="1:11" ht="28.8" x14ac:dyDescent="0.3">
      <c r="A14" s="81" t="str">
        <f t="shared" si="0"/>
        <v>May-19</v>
      </c>
      <c r="B14" s="15">
        <v>43614</v>
      </c>
      <c r="C14" s="10">
        <v>3574.57</v>
      </c>
      <c r="D14" s="6">
        <v>41696</v>
      </c>
      <c r="E14" s="83" t="s">
        <v>45</v>
      </c>
      <c r="I14" s="56"/>
      <c r="J14" s="57"/>
      <c r="K14" s="58"/>
    </row>
    <row r="15" spans="1:11" ht="28.8" x14ac:dyDescent="0.3">
      <c r="A15" s="81" t="str">
        <f t="shared" si="0"/>
        <v>May-19</v>
      </c>
      <c r="B15" s="15">
        <v>43602</v>
      </c>
      <c r="C15" s="6">
        <v>1345.9</v>
      </c>
      <c r="D15" s="6">
        <v>131712</v>
      </c>
      <c r="E15" s="83" t="s">
        <v>48</v>
      </c>
      <c r="I15" s="56"/>
      <c r="J15" s="57"/>
      <c r="K15" s="58"/>
    </row>
    <row r="16" spans="1:11" ht="29.4" thickBot="1" x14ac:dyDescent="0.35">
      <c r="A16" s="84" t="str">
        <f t="shared" si="0"/>
        <v>May-19</v>
      </c>
      <c r="B16" s="28">
        <v>43615</v>
      </c>
      <c r="C16" s="40">
        <v>1667.89</v>
      </c>
      <c r="D16" s="24"/>
      <c r="E16" s="85" t="s">
        <v>51</v>
      </c>
      <c r="I16" s="56"/>
      <c r="J16" s="57"/>
      <c r="K16" s="58"/>
    </row>
    <row r="17" spans="1:11" x14ac:dyDescent="0.3">
      <c r="A17" s="86" t="str">
        <f t="shared" si="0"/>
        <v>Jun-19</v>
      </c>
      <c r="B17" s="21">
        <v>43619</v>
      </c>
      <c r="C17" s="22">
        <v>4073.65</v>
      </c>
      <c r="D17" s="42">
        <v>44061</v>
      </c>
      <c r="E17" s="82" t="s">
        <v>54</v>
      </c>
      <c r="I17" s="56"/>
      <c r="J17" s="57"/>
      <c r="K17" s="58"/>
    </row>
    <row r="18" spans="1:11" x14ac:dyDescent="0.3">
      <c r="A18" s="81" t="str">
        <f t="shared" si="0"/>
        <v>Jun-19</v>
      </c>
      <c r="B18" s="15">
        <v>43634</v>
      </c>
      <c r="C18" s="10">
        <v>5347.33</v>
      </c>
      <c r="D18" s="6">
        <v>477075</v>
      </c>
      <c r="E18" s="83" t="s">
        <v>57</v>
      </c>
      <c r="I18" s="56"/>
      <c r="J18" s="57"/>
      <c r="K18" s="58"/>
    </row>
    <row r="19" spans="1:11" ht="28.8" x14ac:dyDescent="0.3">
      <c r="A19" s="81" t="str">
        <f t="shared" si="0"/>
        <v>Jun-19</v>
      </c>
      <c r="B19" s="15">
        <v>43634</v>
      </c>
      <c r="C19" s="10">
        <v>3286.36</v>
      </c>
      <c r="D19" s="6">
        <v>85138</v>
      </c>
      <c r="E19" s="83" t="s">
        <v>60</v>
      </c>
      <c r="I19" s="56"/>
      <c r="J19" s="57"/>
      <c r="K19" s="58"/>
    </row>
    <row r="20" spans="1:11" x14ac:dyDescent="0.3">
      <c r="A20" s="81" t="str">
        <f t="shared" si="0"/>
        <v>Jun-19</v>
      </c>
      <c r="B20" s="15">
        <v>43622</v>
      </c>
      <c r="C20" s="10">
        <v>2582.1</v>
      </c>
      <c r="D20" s="8"/>
      <c r="E20" s="83" t="s">
        <v>63</v>
      </c>
      <c r="I20" s="56"/>
      <c r="J20" s="57"/>
      <c r="K20" s="58"/>
    </row>
    <row r="21" spans="1:11" x14ac:dyDescent="0.3">
      <c r="A21" s="81" t="str">
        <f t="shared" si="0"/>
        <v>Jun-19</v>
      </c>
      <c r="B21" s="15">
        <v>43635</v>
      </c>
      <c r="C21" s="10">
        <v>4908.96</v>
      </c>
      <c r="D21" s="8"/>
      <c r="E21" s="83" t="s">
        <v>66</v>
      </c>
      <c r="I21" s="56"/>
      <c r="J21" s="57"/>
      <c r="K21" s="58"/>
    </row>
    <row r="22" spans="1:11" ht="28.8" x14ac:dyDescent="0.3">
      <c r="A22" s="81" t="str">
        <f t="shared" si="0"/>
        <v>Jun-19</v>
      </c>
      <c r="B22" s="15">
        <v>43629</v>
      </c>
      <c r="C22" s="5">
        <v>2345.1</v>
      </c>
      <c r="D22" s="8"/>
      <c r="E22" s="83" t="s">
        <v>69</v>
      </c>
      <c r="I22" s="56"/>
      <c r="J22" s="57"/>
      <c r="K22" s="58"/>
    </row>
    <row r="23" spans="1:11" ht="15" thickBot="1" x14ac:dyDescent="0.35">
      <c r="A23" s="84" t="str">
        <f t="shared" si="0"/>
        <v>Jun-19</v>
      </c>
      <c r="B23" s="28">
        <v>43643</v>
      </c>
      <c r="C23" s="40">
        <v>1111.1099999999999</v>
      </c>
      <c r="D23" s="24"/>
      <c r="E23" s="85" t="s">
        <v>72</v>
      </c>
      <c r="I23" s="56"/>
      <c r="J23" s="57"/>
      <c r="K23" s="58"/>
    </row>
    <row r="24" spans="1:11" ht="28.8" x14ac:dyDescent="0.3">
      <c r="A24" s="86" t="str">
        <f t="shared" si="0"/>
        <v>Jul-19</v>
      </c>
      <c r="B24" s="21">
        <v>43654</v>
      </c>
      <c r="C24" s="22">
        <v>4000</v>
      </c>
      <c r="D24" s="18"/>
      <c r="E24" s="82" t="s">
        <v>76</v>
      </c>
      <c r="I24" s="56"/>
      <c r="J24" s="57"/>
      <c r="K24" s="58"/>
    </row>
    <row r="25" spans="1:11" ht="28.8" x14ac:dyDescent="0.3">
      <c r="A25" s="81" t="str">
        <f t="shared" si="0"/>
        <v>Jul-19</v>
      </c>
      <c r="B25" s="15">
        <v>43675</v>
      </c>
      <c r="C25" s="10">
        <v>1983.46</v>
      </c>
      <c r="D25" s="8"/>
      <c r="E25" s="83" t="s">
        <v>79</v>
      </c>
      <c r="I25" s="59"/>
      <c r="J25" s="60"/>
      <c r="K25" s="61"/>
    </row>
    <row r="26" spans="1:11" ht="28.8" x14ac:dyDescent="0.3">
      <c r="A26" s="81" t="str">
        <f t="shared" si="0"/>
        <v>Jul-19</v>
      </c>
      <c r="B26" s="15">
        <v>43659</v>
      </c>
      <c r="C26" s="10">
        <v>4411.88</v>
      </c>
      <c r="D26" s="8"/>
      <c r="E26" s="83" t="s">
        <v>82</v>
      </c>
    </row>
    <row r="27" spans="1:11" ht="28.8" x14ac:dyDescent="0.3">
      <c r="A27" s="81" t="str">
        <f t="shared" si="0"/>
        <v>Jul-19</v>
      </c>
      <c r="B27" s="15">
        <v>43648</v>
      </c>
      <c r="C27" s="10">
        <v>2754.8</v>
      </c>
      <c r="D27" s="8"/>
      <c r="E27" s="83" t="s">
        <v>85</v>
      </c>
    </row>
    <row r="28" spans="1:11" ht="28.8" x14ac:dyDescent="0.3">
      <c r="A28" s="81" t="str">
        <f t="shared" si="0"/>
        <v>Jul-19</v>
      </c>
      <c r="B28" s="15">
        <v>43661</v>
      </c>
      <c r="C28" s="10">
        <v>4086.16</v>
      </c>
      <c r="D28" s="8"/>
      <c r="E28" s="83" t="s">
        <v>88</v>
      </c>
    </row>
    <row r="29" spans="1:11" ht="28.8" x14ac:dyDescent="0.3">
      <c r="A29" s="81" t="str">
        <f t="shared" si="0"/>
        <v>Jul-19</v>
      </c>
      <c r="B29" s="15">
        <v>43674</v>
      </c>
      <c r="C29" s="5">
        <v>2986.46</v>
      </c>
      <c r="D29" s="6">
        <v>85138</v>
      </c>
      <c r="E29" s="83" t="s">
        <v>91</v>
      </c>
    </row>
    <row r="30" spans="1:11" ht="15" thickBot="1" x14ac:dyDescent="0.35">
      <c r="A30" s="84" t="str">
        <f t="shared" si="0"/>
        <v>Jul-19</v>
      </c>
      <c r="B30" s="28">
        <v>43656</v>
      </c>
      <c r="C30" s="40">
        <v>2898.35</v>
      </c>
      <c r="D30" s="47">
        <v>487451</v>
      </c>
      <c r="E30" s="85" t="s">
        <v>94</v>
      </c>
    </row>
    <row r="31" spans="1:11" x14ac:dyDescent="0.3">
      <c r="A31" s="86" t="str">
        <f t="shared" si="0"/>
        <v>Aug-19</v>
      </c>
      <c r="B31" s="21">
        <v>43691</v>
      </c>
      <c r="C31" s="22">
        <v>4624.43</v>
      </c>
      <c r="D31" s="18"/>
      <c r="E31" s="82" t="s">
        <v>72</v>
      </c>
    </row>
    <row r="32" spans="1:11" ht="28.8" x14ac:dyDescent="0.3">
      <c r="A32" s="81" t="str">
        <f t="shared" si="0"/>
        <v>Aug-19</v>
      </c>
      <c r="B32" s="15">
        <v>43704</v>
      </c>
      <c r="C32" s="10">
        <v>5520.94</v>
      </c>
      <c r="D32" s="6">
        <v>75343</v>
      </c>
      <c r="E32" s="83" t="s">
        <v>97</v>
      </c>
    </row>
    <row r="33" spans="1:5" ht="28.8" x14ac:dyDescent="0.3">
      <c r="A33" s="81" t="str">
        <f t="shared" si="0"/>
        <v>Aug-19</v>
      </c>
      <c r="B33" s="15">
        <v>43696</v>
      </c>
      <c r="C33" s="10">
        <v>3282.84</v>
      </c>
      <c r="D33" s="6">
        <v>57560</v>
      </c>
      <c r="E33" s="83" t="s">
        <v>100</v>
      </c>
    </row>
    <row r="34" spans="1:5" x14ac:dyDescent="0.3">
      <c r="A34" s="81" t="str">
        <f t="shared" si="0"/>
        <v>Aug-19</v>
      </c>
      <c r="B34" s="15">
        <v>43704</v>
      </c>
      <c r="C34" s="10">
        <v>3769.26</v>
      </c>
      <c r="D34" s="6">
        <v>114822</v>
      </c>
      <c r="E34" s="83" t="s">
        <v>103</v>
      </c>
    </row>
    <row r="35" spans="1:5" x14ac:dyDescent="0.3">
      <c r="A35" s="81" t="str">
        <f t="shared" si="0"/>
        <v>Aug-19</v>
      </c>
      <c r="B35" s="15">
        <v>43682</v>
      </c>
      <c r="C35" s="10">
        <v>4302.72</v>
      </c>
      <c r="D35" s="8"/>
      <c r="E35" s="83" t="s">
        <v>106</v>
      </c>
    </row>
    <row r="36" spans="1:5" ht="28.8" x14ac:dyDescent="0.3">
      <c r="A36" s="81" t="str">
        <f t="shared" si="0"/>
        <v>Aug-19</v>
      </c>
      <c r="B36" s="15">
        <v>43699</v>
      </c>
      <c r="C36" s="5">
        <v>3564.48</v>
      </c>
      <c r="D36" s="8"/>
      <c r="E36" s="83" t="s">
        <v>109</v>
      </c>
    </row>
    <row r="37" spans="1:5" ht="15" thickBot="1" x14ac:dyDescent="0.35">
      <c r="A37" s="84" t="str">
        <f t="shared" si="0"/>
        <v>Aug-19</v>
      </c>
      <c r="B37" s="28">
        <v>43695</v>
      </c>
      <c r="C37" s="40">
        <v>2112.89</v>
      </c>
      <c r="D37" s="24"/>
      <c r="E37" s="85" t="s">
        <v>112</v>
      </c>
    </row>
    <row r="38" spans="1:5" x14ac:dyDescent="0.3">
      <c r="A38" s="86" t="str">
        <f t="shared" si="0"/>
        <v>Sep-19</v>
      </c>
      <c r="B38" s="21">
        <v>43717</v>
      </c>
      <c r="C38" s="22">
        <v>4103.84</v>
      </c>
      <c r="D38" s="42">
        <v>9933</v>
      </c>
      <c r="E38" s="82" t="s">
        <v>115</v>
      </c>
    </row>
    <row r="39" spans="1:5" ht="28.8" x14ac:dyDescent="0.3">
      <c r="A39" s="81" t="str">
        <f t="shared" si="0"/>
        <v>Sep-19</v>
      </c>
      <c r="B39" s="15">
        <v>43719</v>
      </c>
      <c r="C39" s="10">
        <v>5338.45</v>
      </c>
      <c r="D39" s="6">
        <v>24247</v>
      </c>
      <c r="E39" s="83" t="s">
        <v>118</v>
      </c>
    </row>
    <row r="40" spans="1:5" ht="28.8" x14ac:dyDescent="0.3">
      <c r="A40" s="81" t="str">
        <f t="shared" si="0"/>
        <v>Sep-19</v>
      </c>
      <c r="B40" s="15">
        <v>43735</v>
      </c>
      <c r="C40" s="10">
        <v>2330.23</v>
      </c>
      <c r="D40" s="8"/>
      <c r="E40" s="83" t="s">
        <v>121</v>
      </c>
    </row>
    <row r="41" spans="1:5" x14ac:dyDescent="0.3">
      <c r="A41" s="81" t="str">
        <f t="shared" si="0"/>
        <v>Sep-19</v>
      </c>
      <c r="B41" s="15">
        <v>43737</v>
      </c>
      <c r="C41" s="10">
        <v>3896.51</v>
      </c>
      <c r="D41" s="8"/>
      <c r="E41" s="83" t="s">
        <v>124</v>
      </c>
    </row>
    <row r="42" spans="1:5" x14ac:dyDescent="0.3">
      <c r="A42" s="81" t="str">
        <f t="shared" si="0"/>
        <v>Sep-19</v>
      </c>
      <c r="B42" s="15">
        <v>43733</v>
      </c>
      <c r="C42" s="10">
        <v>2588.89</v>
      </c>
      <c r="D42" s="8"/>
      <c r="E42" s="83" t="s">
        <v>127</v>
      </c>
    </row>
    <row r="43" spans="1:5" x14ac:dyDescent="0.3">
      <c r="A43" s="81" t="str">
        <f t="shared" si="0"/>
        <v>Sep-19</v>
      </c>
      <c r="B43" s="15">
        <v>43721</v>
      </c>
      <c r="C43" s="5">
        <v>1345.56</v>
      </c>
      <c r="D43" s="6">
        <v>48028</v>
      </c>
      <c r="E43" s="83" t="s">
        <v>130</v>
      </c>
    </row>
    <row r="44" spans="1:5" ht="15" thickBot="1" x14ac:dyDescent="0.35">
      <c r="A44" s="84" t="str">
        <f t="shared" si="0"/>
        <v>Sep-19</v>
      </c>
      <c r="B44" s="28">
        <v>43720</v>
      </c>
      <c r="C44" s="40">
        <v>1678.9</v>
      </c>
      <c r="D44" s="24"/>
      <c r="E44" s="85" t="s">
        <v>133</v>
      </c>
    </row>
    <row r="45" spans="1:5" ht="28.8" x14ac:dyDescent="0.3">
      <c r="A45" s="86" t="str">
        <f t="shared" si="0"/>
        <v>Oct-19</v>
      </c>
      <c r="B45" s="21">
        <v>43754</v>
      </c>
      <c r="C45" s="17">
        <v>810.3</v>
      </c>
      <c r="D45" s="42">
        <v>18432</v>
      </c>
      <c r="E45" s="82" t="s">
        <v>21</v>
      </c>
    </row>
    <row r="46" spans="1:5" x14ac:dyDescent="0.3">
      <c r="A46" s="81" t="str">
        <f t="shared" si="0"/>
        <v>Oct-19</v>
      </c>
      <c r="B46" s="15">
        <v>43744</v>
      </c>
      <c r="C46" s="10">
        <v>4056.23</v>
      </c>
      <c r="D46" s="8"/>
      <c r="E46" s="83" t="s">
        <v>39</v>
      </c>
    </row>
    <row r="47" spans="1:5" x14ac:dyDescent="0.3">
      <c r="A47" s="81" t="str">
        <f t="shared" si="0"/>
        <v>Oct-19</v>
      </c>
      <c r="B47" s="15">
        <v>43741</v>
      </c>
      <c r="C47" s="10">
        <v>5952.96</v>
      </c>
      <c r="D47" s="8"/>
      <c r="E47" s="83" t="s">
        <v>42</v>
      </c>
    </row>
    <row r="48" spans="1:5" ht="28.8" x14ac:dyDescent="0.3">
      <c r="A48" s="81" t="str">
        <f t="shared" si="0"/>
        <v>Oct-19</v>
      </c>
      <c r="B48" s="15">
        <v>43753</v>
      </c>
      <c r="C48" s="10">
        <v>4403.8500000000004</v>
      </c>
      <c r="D48" s="8"/>
      <c r="E48" s="83" t="s">
        <v>45</v>
      </c>
    </row>
    <row r="49" spans="1:5" ht="28.8" x14ac:dyDescent="0.3">
      <c r="A49" s="81" t="str">
        <f t="shared" si="0"/>
        <v>Oct-19</v>
      </c>
      <c r="B49" s="15">
        <v>43742</v>
      </c>
      <c r="C49" s="10">
        <v>4243.71</v>
      </c>
      <c r="D49" s="6">
        <v>94115</v>
      </c>
      <c r="E49" s="83" t="s">
        <v>48</v>
      </c>
    </row>
    <row r="50" spans="1:5" ht="28.8" x14ac:dyDescent="0.3">
      <c r="A50" s="81" t="str">
        <f t="shared" si="0"/>
        <v>Oct-19</v>
      </c>
      <c r="B50" s="15">
        <v>43743</v>
      </c>
      <c r="C50" s="5">
        <v>2345.9</v>
      </c>
      <c r="D50" s="6">
        <v>68110</v>
      </c>
      <c r="E50" s="83" t="s">
        <v>51</v>
      </c>
    </row>
    <row r="51" spans="1:5" ht="15" thickBot="1" x14ac:dyDescent="0.35">
      <c r="A51" s="84" t="str">
        <f t="shared" si="0"/>
        <v>Oct-19</v>
      </c>
      <c r="B51" s="28">
        <v>43758</v>
      </c>
      <c r="C51" s="40">
        <v>1897.68</v>
      </c>
      <c r="D51" s="24"/>
      <c r="E51" s="85" t="s">
        <v>54</v>
      </c>
    </row>
    <row r="52" spans="1:5" x14ac:dyDescent="0.3">
      <c r="A52" s="86" t="str">
        <f t="shared" si="0"/>
        <v>Nov-19</v>
      </c>
      <c r="B52" s="21">
        <v>43794</v>
      </c>
      <c r="C52" s="22">
        <v>2505.0500000000002</v>
      </c>
      <c r="D52" s="18"/>
      <c r="E52" s="82" t="s">
        <v>136</v>
      </c>
    </row>
    <row r="53" spans="1:5" x14ac:dyDescent="0.3">
      <c r="A53" s="81" t="str">
        <f t="shared" si="0"/>
        <v>Nov-19</v>
      </c>
      <c r="B53" s="15">
        <v>43785</v>
      </c>
      <c r="C53" s="10">
        <v>3701.88</v>
      </c>
      <c r="D53" s="6">
        <v>45283</v>
      </c>
      <c r="E53" s="83" t="s">
        <v>115</v>
      </c>
    </row>
    <row r="54" spans="1:5" ht="28.8" x14ac:dyDescent="0.3">
      <c r="A54" s="81" t="str">
        <f t="shared" si="0"/>
        <v>Nov-19</v>
      </c>
      <c r="B54" s="15">
        <v>43795</v>
      </c>
      <c r="C54" s="10">
        <v>2167.4</v>
      </c>
      <c r="D54" s="6">
        <v>68110</v>
      </c>
      <c r="E54" s="83" t="s">
        <v>118</v>
      </c>
    </row>
    <row r="55" spans="1:5" ht="28.8" x14ac:dyDescent="0.3">
      <c r="A55" s="81" t="str">
        <f t="shared" si="0"/>
        <v>Nov-19</v>
      </c>
      <c r="B55" s="15">
        <v>43784</v>
      </c>
      <c r="C55" s="10">
        <v>4139.1899999999996</v>
      </c>
      <c r="D55" s="6">
        <v>638918</v>
      </c>
      <c r="E55" s="83" t="s">
        <v>139</v>
      </c>
    </row>
    <row r="56" spans="1:5" x14ac:dyDescent="0.3">
      <c r="A56" s="81" t="str">
        <f t="shared" si="0"/>
        <v>Nov-19</v>
      </c>
      <c r="B56" s="15">
        <v>43775</v>
      </c>
      <c r="C56" s="10">
        <v>3928.59</v>
      </c>
      <c r="D56" s="8"/>
      <c r="E56" s="83" t="s">
        <v>130</v>
      </c>
    </row>
    <row r="57" spans="1:5" x14ac:dyDescent="0.3">
      <c r="A57" s="81" t="str">
        <f t="shared" si="0"/>
        <v>Nov-19</v>
      </c>
      <c r="B57" s="15">
        <v>43795</v>
      </c>
      <c r="C57" s="5">
        <v>2900</v>
      </c>
      <c r="D57" s="8"/>
      <c r="E57" s="83" t="s">
        <v>133</v>
      </c>
    </row>
    <row r="58" spans="1:5" ht="15" thickBot="1" x14ac:dyDescent="0.35">
      <c r="A58" s="84" t="str">
        <f t="shared" si="0"/>
        <v>Nov-19</v>
      </c>
      <c r="B58" s="28">
        <v>43780</v>
      </c>
      <c r="C58" s="25">
        <v>2098.56</v>
      </c>
      <c r="D58" s="24"/>
      <c r="E58" s="85" t="s">
        <v>142</v>
      </c>
    </row>
    <row r="59" spans="1:5" x14ac:dyDescent="0.3">
      <c r="A59" s="86" t="str">
        <f t="shared" si="0"/>
        <v>Dec-19</v>
      </c>
      <c r="B59" s="21">
        <v>43805</v>
      </c>
      <c r="C59" s="22">
        <v>3581</v>
      </c>
      <c r="D59" s="18"/>
      <c r="E59" s="82" t="s">
        <v>145</v>
      </c>
    </row>
    <row r="60" spans="1:5" ht="28.8" x14ac:dyDescent="0.3">
      <c r="A60" s="81" t="str">
        <f t="shared" si="0"/>
        <v>Dec-19</v>
      </c>
      <c r="B60" s="15">
        <v>43826</v>
      </c>
      <c r="C60" s="10">
        <v>2821.59</v>
      </c>
      <c r="D60" s="8"/>
      <c r="E60" s="83" t="s">
        <v>148</v>
      </c>
    </row>
    <row r="61" spans="1:5" x14ac:dyDescent="0.3">
      <c r="A61" s="81" t="str">
        <f t="shared" si="0"/>
        <v>Dec-19</v>
      </c>
      <c r="B61" s="15">
        <v>43809</v>
      </c>
      <c r="C61" s="10">
        <v>4968.3900000000003</v>
      </c>
      <c r="D61" s="8"/>
      <c r="E61" s="83" t="s">
        <v>151</v>
      </c>
    </row>
    <row r="62" spans="1:5" ht="28.8" x14ac:dyDescent="0.3">
      <c r="A62" s="81" t="str">
        <f t="shared" si="0"/>
        <v>Dec-19</v>
      </c>
      <c r="B62" s="15">
        <v>43800</v>
      </c>
      <c r="C62" s="10">
        <v>5531.25</v>
      </c>
      <c r="D62" s="6">
        <v>72061</v>
      </c>
      <c r="E62" s="83" t="s">
        <v>27</v>
      </c>
    </row>
    <row r="63" spans="1:5" ht="28.8" x14ac:dyDescent="0.3">
      <c r="A63" s="81" t="str">
        <f t="shared" si="0"/>
        <v>Dec-19</v>
      </c>
      <c r="B63" s="15">
        <v>43825</v>
      </c>
      <c r="C63" s="10">
        <v>3115.78</v>
      </c>
      <c r="D63" s="6">
        <v>167265</v>
      </c>
      <c r="E63" s="83" t="s">
        <v>30</v>
      </c>
    </row>
    <row r="64" spans="1:5" ht="28.8" x14ac:dyDescent="0.3">
      <c r="A64" s="81" t="str">
        <f t="shared" si="0"/>
        <v>Dec-19</v>
      </c>
      <c r="B64" s="15">
        <v>43821</v>
      </c>
      <c r="C64" s="5">
        <v>2224.6</v>
      </c>
      <c r="D64" s="6">
        <v>25604</v>
      </c>
      <c r="E64" s="83" t="s">
        <v>33</v>
      </c>
    </row>
    <row r="65" spans="1:5" ht="15" thickBot="1" x14ac:dyDescent="0.35">
      <c r="A65" s="84" t="str">
        <f t="shared" si="0"/>
        <v>Dec-19</v>
      </c>
      <c r="B65" s="28">
        <v>43809</v>
      </c>
      <c r="C65" s="40">
        <v>2145.62</v>
      </c>
      <c r="D65" s="34"/>
      <c r="E65" s="85" t="s">
        <v>154</v>
      </c>
    </row>
    <row r="66" spans="1:5" x14ac:dyDescent="0.3">
      <c r="A66" s="86" t="str">
        <f t="shared" si="0"/>
        <v>Jan-20</v>
      </c>
      <c r="B66" s="21">
        <v>43843</v>
      </c>
      <c r="C66" s="22">
        <v>3841.38</v>
      </c>
      <c r="D66" s="42">
        <v>7033</v>
      </c>
      <c r="E66" s="82" t="s">
        <v>103</v>
      </c>
    </row>
    <row r="67" spans="1:5" x14ac:dyDescent="0.3">
      <c r="A67" s="81" t="str">
        <f t="shared" si="0"/>
        <v>Jan-20</v>
      </c>
      <c r="B67" s="15">
        <v>43845</v>
      </c>
      <c r="C67" s="10">
        <v>3994.97</v>
      </c>
      <c r="D67" s="6">
        <v>7033</v>
      </c>
      <c r="E67" s="83" t="s">
        <v>106</v>
      </c>
    </row>
    <row r="68" spans="1:5" ht="28.8" x14ac:dyDescent="0.3">
      <c r="A68" s="81" t="str">
        <f t="shared" ref="A68:A86" si="1">TEXT(B68,"MMM")&amp;"-"&amp;TEXT(B68,"YY")</f>
        <v>Jan-20</v>
      </c>
      <c r="B68" s="15">
        <v>43853</v>
      </c>
      <c r="C68" s="10">
        <v>4628.42</v>
      </c>
      <c r="D68" s="8"/>
      <c r="E68" s="83" t="s">
        <v>109</v>
      </c>
    </row>
    <row r="69" spans="1:5" x14ac:dyDescent="0.3">
      <c r="A69" s="81" t="str">
        <f t="shared" si="1"/>
        <v>Jan-20</v>
      </c>
      <c r="B69" s="15">
        <v>43840</v>
      </c>
      <c r="C69" s="10">
        <v>6026.56</v>
      </c>
      <c r="D69" s="8"/>
      <c r="E69" s="83" t="s">
        <v>112</v>
      </c>
    </row>
    <row r="70" spans="1:5" ht="28.8" x14ac:dyDescent="0.3">
      <c r="A70" s="81" t="str">
        <f t="shared" si="1"/>
        <v>Jan-20</v>
      </c>
      <c r="B70" s="15">
        <v>43836</v>
      </c>
      <c r="C70" s="10">
        <v>4179.08</v>
      </c>
      <c r="D70" s="6">
        <v>50391</v>
      </c>
      <c r="E70" s="83" t="s">
        <v>157</v>
      </c>
    </row>
    <row r="71" spans="1:5" ht="28.8" x14ac:dyDescent="0.3">
      <c r="A71" s="81" t="str">
        <f t="shared" si="1"/>
        <v>Jan-20</v>
      </c>
      <c r="B71" s="15">
        <v>43851</v>
      </c>
      <c r="C71" s="5">
        <v>3456.09</v>
      </c>
      <c r="D71" s="8"/>
      <c r="E71" s="83" t="s">
        <v>231</v>
      </c>
    </row>
    <row r="72" spans="1:5" ht="15" thickBot="1" x14ac:dyDescent="0.35">
      <c r="A72" s="84" t="str">
        <f t="shared" si="1"/>
        <v>Jan-20</v>
      </c>
      <c r="B72" s="28">
        <v>43832</v>
      </c>
      <c r="C72" s="40">
        <v>3678.97</v>
      </c>
      <c r="D72" s="24"/>
      <c r="E72" s="85" t="s">
        <v>162</v>
      </c>
    </row>
    <row r="73" spans="1:5" ht="28.8" x14ac:dyDescent="0.3">
      <c r="A73" s="86" t="str">
        <f t="shared" si="1"/>
        <v>Feb-20</v>
      </c>
      <c r="B73" s="21">
        <v>43886</v>
      </c>
      <c r="C73" s="22">
        <v>3905.76</v>
      </c>
      <c r="D73" s="18"/>
      <c r="E73" s="82" t="s">
        <v>165</v>
      </c>
    </row>
    <row r="74" spans="1:5" x14ac:dyDescent="0.3">
      <c r="A74" s="81" t="str">
        <f t="shared" si="1"/>
        <v>Feb-20</v>
      </c>
      <c r="B74" s="15">
        <v>43887</v>
      </c>
      <c r="C74" s="10">
        <v>6890.81</v>
      </c>
      <c r="D74" s="8"/>
      <c r="E74" s="83" t="s">
        <v>12</v>
      </c>
    </row>
    <row r="75" spans="1:5" x14ac:dyDescent="0.3">
      <c r="A75" s="81" t="str">
        <f t="shared" si="1"/>
        <v>Feb-20</v>
      </c>
      <c r="B75" s="15">
        <v>43870</v>
      </c>
      <c r="C75" s="10">
        <v>3716.85</v>
      </c>
      <c r="D75" s="6">
        <v>21854</v>
      </c>
      <c r="E75" s="83" t="s">
        <v>17</v>
      </c>
    </row>
    <row r="76" spans="1:5" ht="28.8" x14ac:dyDescent="0.3">
      <c r="A76" s="81" t="str">
        <f t="shared" si="1"/>
        <v>Feb-20</v>
      </c>
      <c r="B76" s="15">
        <v>43884</v>
      </c>
      <c r="C76" s="10">
        <v>2368.08</v>
      </c>
      <c r="D76" s="6">
        <v>4978</v>
      </c>
      <c r="E76" s="83" t="s">
        <v>36</v>
      </c>
    </row>
    <row r="77" spans="1:5" ht="28.8" x14ac:dyDescent="0.3">
      <c r="A77" s="81" t="str">
        <f t="shared" si="1"/>
        <v>Feb-20</v>
      </c>
      <c r="B77" s="15">
        <v>43890</v>
      </c>
      <c r="C77" s="10">
        <v>5101.74</v>
      </c>
      <c r="D77" s="8"/>
      <c r="E77" s="83" t="s">
        <v>21</v>
      </c>
    </row>
    <row r="78" spans="1:5" x14ac:dyDescent="0.3">
      <c r="A78" s="81" t="str">
        <f t="shared" si="1"/>
        <v>Feb-20</v>
      </c>
      <c r="B78" s="15">
        <v>43865</v>
      </c>
      <c r="C78" s="5">
        <v>2123.89</v>
      </c>
      <c r="D78" s="6">
        <v>23128</v>
      </c>
      <c r="E78" s="83" t="s">
        <v>39</v>
      </c>
    </row>
    <row r="79" spans="1:5" ht="15" thickBot="1" x14ac:dyDescent="0.35">
      <c r="A79" s="84" t="str">
        <f t="shared" si="1"/>
        <v>Feb-20</v>
      </c>
      <c r="B79" s="28">
        <v>43876</v>
      </c>
      <c r="C79" s="40">
        <v>1234.96</v>
      </c>
      <c r="D79" s="24"/>
      <c r="E79" s="85" t="s">
        <v>42</v>
      </c>
    </row>
    <row r="80" spans="1:5" x14ac:dyDescent="0.3">
      <c r="A80" s="86" t="str">
        <f t="shared" si="1"/>
        <v>Mar-20</v>
      </c>
      <c r="B80" s="21">
        <v>43919</v>
      </c>
      <c r="C80" s="22">
        <v>3807.6</v>
      </c>
      <c r="D80" s="18"/>
      <c r="E80" s="82" t="s">
        <v>54</v>
      </c>
    </row>
    <row r="81" spans="1:5" x14ac:dyDescent="0.3">
      <c r="A81" s="81" t="str">
        <f t="shared" si="1"/>
        <v>Mar-20</v>
      </c>
      <c r="B81" s="15">
        <v>43893</v>
      </c>
      <c r="C81" s="10">
        <v>3695.12</v>
      </c>
      <c r="D81" s="8"/>
      <c r="E81" s="83" t="s">
        <v>168</v>
      </c>
    </row>
    <row r="82" spans="1:5" ht="28.8" x14ac:dyDescent="0.3">
      <c r="A82" s="81" t="str">
        <f t="shared" si="1"/>
        <v>Mar-20</v>
      </c>
      <c r="B82" s="15">
        <v>43905</v>
      </c>
      <c r="C82" s="10">
        <v>4828</v>
      </c>
      <c r="D82" s="8" t="s">
        <v>173</v>
      </c>
      <c r="E82" s="83" t="s">
        <v>171</v>
      </c>
    </row>
    <row r="83" spans="1:5" x14ac:dyDescent="0.3">
      <c r="A83" s="81" t="str">
        <f t="shared" si="1"/>
        <v>Mar-20</v>
      </c>
      <c r="B83" s="15">
        <v>43902</v>
      </c>
      <c r="C83" s="9">
        <v>747.16</v>
      </c>
      <c r="D83" s="13">
        <v>230234</v>
      </c>
      <c r="E83" s="83" t="s">
        <v>63</v>
      </c>
    </row>
    <row r="84" spans="1:5" x14ac:dyDescent="0.3">
      <c r="A84" s="81" t="str">
        <f t="shared" si="1"/>
        <v>Mar-20</v>
      </c>
      <c r="B84" s="15">
        <v>43903</v>
      </c>
      <c r="C84" s="10">
        <v>3805.46</v>
      </c>
      <c r="D84" s="8"/>
      <c r="E84" s="83" t="s">
        <v>66</v>
      </c>
    </row>
    <row r="85" spans="1:5" ht="28.8" x14ac:dyDescent="0.3">
      <c r="A85" s="81" t="str">
        <f t="shared" si="1"/>
        <v>Mar-20</v>
      </c>
      <c r="B85" s="15">
        <v>43916</v>
      </c>
      <c r="C85" s="5">
        <v>1678.9</v>
      </c>
      <c r="D85" s="8"/>
      <c r="E85" s="83" t="s">
        <v>69</v>
      </c>
    </row>
    <row r="86" spans="1:5" ht="15" thickBot="1" x14ac:dyDescent="0.35">
      <c r="A86" s="84" t="str">
        <f t="shared" si="1"/>
        <v>Mar-20</v>
      </c>
      <c r="B86" s="28">
        <v>43895</v>
      </c>
      <c r="C86" s="40">
        <v>1678.34</v>
      </c>
      <c r="D86" s="24"/>
      <c r="E86" s="85" t="s">
        <v>145</v>
      </c>
    </row>
    <row r="87" spans="1:5" x14ac:dyDescent="0.3">
      <c r="B87"/>
      <c r="C87"/>
      <c r="D87"/>
      <c r="E87"/>
    </row>
  </sheetData>
  <conditionalFormatting sqref="E6">
    <cfRule type="duplicateValues" dxfId="22" priority="23"/>
  </conditionalFormatting>
  <conditionalFormatting sqref="E3">
    <cfRule type="duplicateValues" dxfId="21" priority="22"/>
  </conditionalFormatting>
  <conditionalFormatting sqref="E5">
    <cfRule type="duplicateValues" dxfId="20" priority="21"/>
  </conditionalFormatting>
  <conditionalFormatting sqref="E7:E9">
    <cfRule type="duplicateValues" dxfId="19" priority="20"/>
  </conditionalFormatting>
  <conditionalFormatting sqref="E10:E16">
    <cfRule type="duplicateValues" dxfId="18" priority="19"/>
  </conditionalFormatting>
  <conditionalFormatting sqref="E18">
    <cfRule type="duplicateValues" dxfId="17" priority="18"/>
  </conditionalFormatting>
  <conditionalFormatting sqref="E19:E22">
    <cfRule type="duplicateValues" dxfId="16" priority="17"/>
  </conditionalFormatting>
  <conditionalFormatting sqref="E17">
    <cfRule type="duplicateValues" dxfId="15" priority="16"/>
  </conditionalFormatting>
  <conditionalFormatting sqref="E23">
    <cfRule type="duplicateValues" dxfId="14" priority="15"/>
  </conditionalFormatting>
  <conditionalFormatting sqref="E30">
    <cfRule type="duplicateValues" dxfId="13" priority="14"/>
  </conditionalFormatting>
  <conditionalFormatting sqref="E24:E29">
    <cfRule type="duplicateValues" dxfId="12" priority="13"/>
  </conditionalFormatting>
  <conditionalFormatting sqref="E31:E37">
    <cfRule type="duplicateValues" dxfId="11" priority="12"/>
  </conditionalFormatting>
  <conditionalFormatting sqref="E38:E44">
    <cfRule type="duplicateValues" dxfId="10" priority="11"/>
  </conditionalFormatting>
  <conditionalFormatting sqref="E45:E51">
    <cfRule type="duplicateValues" dxfId="9" priority="10"/>
  </conditionalFormatting>
  <conditionalFormatting sqref="E55">
    <cfRule type="duplicateValues" dxfId="8" priority="9"/>
  </conditionalFormatting>
  <conditionalFormatting sqref="E52:E54">
    <cfRule type="duplicateValues" dxfId="7" priority="8"/>
  </conditionalFormatting>
  <conditionalFormatting sqref="E56:E58">
    <cfRule type="duplicateValues" dxfId="6" priority="7"/>
  </conditionalFormatting>
  <conditionalFormatting sqref="E59:E65">
    <cfRule type="duplicateValues" dxfId="5" priority="6"/>
  </conditionalFormatting>
  <conditionalFormatting sqref="E66:E72">
    <cfRule type="duplicateValues" dxfId="4" priority="5"/>
  </conditionalFormatting>
  <conditionalFormatting sqref="E76:E79 E73:E74">
    <cfRule type="duplicateValues" dxfId="3" priority="4"/>
  </conditionalFormatting>
  <conditionalFormatting sqref="E82">
    <cfRule type="duplicateValues" dxfId="2" priority="3"/>
  </conditionalFormatting>
  <conditionalFormatting sqref="E80:E81">
    <cfRule type="duplicateValues" dxfId="1" priority="2"/>
  </conditionalFormatting>
  <conditionalFormatting sqref="E83:E8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 REQUEST DATABASE</vt:lpstr>
      <vt:lpstr>Sheet4</vt:lpstr>
      <vt:lpstr>Sheet3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packt. sanjeetkumars</dc:creator>
  <cp:lastModifiedBy>packt. sanjeetkumars</cp:lastModifiedBy>
  <dcterms:created xsi:type="dcterms:W3CDTF">2015-06-05T18:17:20Z</dcterms:created>
  <dcterms:modified xsi:type="dcterms:W3CDTF">2020-06-06T00:42:09Z</dcterms:modified>
</cp:coreProperties>
</file>